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1.xml" ContentType="application/vnd.openxmlformats-officedocument.spreadsheetml.table+xml"/>
  <Override PartName="/xl/worksheets/sheet6.xml" ContentType="application/vnd.openxmlformats-officedocument.spreadsheetml.worksheet+xml"/>
  <Override PartName="/xl/tables/table2.xml" ContentType="application/vnd.openxmlformats-officedocument.spreadsheetml.table+xml"/>
  <Override PartName="/xl/worksheets/sheet7.xml" ContentType="application/vnd.openxmlformats-officedocument.spreadsheetml.worksheet+xml"/>
  <Override PartName="/xl/tables/table3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1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Nomina-Imprimir" sheetId="2" state="visible" r:id="rId2"/>
    <sheet xmlns:r="http://schemas.openxmlformats.org/officeDocument/2006/relationships" name="Nomina-Formal" sheetId="3" state="visible" r:id="rId3"/>
    <sheet xmlns:r="http://schemas.openxmlformats.org/officeDocument/2006/relationships" name="Plantilla-Semana" sheetId="4" state="visible" r:id="rId4"/>
    <sheet xmlns:r="http://schemas.openxmlformats.org/officeDocument/2006/relationships" name="Trabajadores" sheetId="5" state="visible" r:id="rId5"/>
    <sheet xmlns:r="http://schemas.openxmlformats.org/officeDocument/2006/relationships" name="Catálogo Modelos" sheetId="6" state="visible" r:id="rId6"/>
    <sheet xmlns:r="http://schemas.openxmlformats.org/officeDocument/2006/relationships" name="Tarifas Material" sheetId="7" state="visible" r:id="rId7"/>
    <sheet xmlns:r="http://schemas.openxmlformats.org/officeDocument/2006/relationships" name="Resumen Nóminas" sheetId="8" state="visible" r:id="rId8"/>
    <sheet xmlns:r="http://schemas.openxmlformats.org/officeDocument/2006/relationships" name="Nomina-TLL" sheetId="9" state="visible" r:id="rId9"/>
    <sheet xmlns:r="http://schemas.openxmlformats.org/officeDocument/2006/relationships" name="Nomina-PIT" sheetId="10" state="visible" r:id="rId10"/>
  </sheets>
  <definedNames>
    <definedName name="_xlnm.Print_Titles" localSheetId="1">'Nomina-Imprimir'!$5:$5</definedName>
    <definedName name="_xlnm.Print_Titles" localSheetId="2">'Nomina-Formal'!$1:$5</definedName>
    <definedName name="_xlnm.Print_Area" localSheetId="2">'Nomina-Formal'!$A$1:$P$115</definedName>
  </definedNames>
  <calcPr calcId="191029" fullCalcOnLoad="1"/>
</workbook>
</file>

<file path=xl/styles.xml><?xml version="1.0" encoding="utf-8"?>
<styleSheet xmlns="http://schemas.openxmlformats.org/spreadsheetml/2006/main">
  <numFmts count="8">
    <numFmt numFmtId="164" formatCode="\$#,##0.00"/>
    <numFmt numFmtId="165" formatCode="_-&quot;$&quot;* #,##0.00_-;\-&quot;$&quot;* #,##0.00_-;_-&quot;$&quot;* &quot;-&quot;??_-;_-@_-"/>
    <numFmt numFmtId="166" formatCode="yyyy\-mm\-dd"/>
    <numFmt numFmtId="167" formatCode="0.##;\-0.##;;"/>
    <numFmt numFmtId="168" formatCode="_-[$$-80A]* #,##0.00_-;\-[$$-80A]* #,##0.00_-;_-[$$-80A]* &quot;-&quot;??_-;_-@_-"/>
    <numFmt numFmtId="169" formatCode="0.0"/>
    <numFmt numFmtId="170" formatCode="\$#,##0.00;\-\$#,##0.00;;"/>
    <numFmt numFmtId="171" formatCode="[$-80A]d&quot; de &quot;mmmm&quot; de &quot;yyyy;@"/>
  </numFmts>
  <fonts count="33">
    <font>
      <name val="Calibri"/>
      <family val="2"/>
      <color theme="1"/>
      <sz val="11"/>
      <scheme val="minor"/>
    </font>
    <font>
      <name val="Calibri"/>
      <b val="1"/>
      <color rgb="FF1F4E79"/>
      <sz val="13"/>
    </font>
    <font>
      <name val="Calibri"/>
      <b val="1"/>
      <color rgb="FF2E75B6"/>
      <sz val="10"/>
    </font>
    <font>
      <name val="Calibri"/>
      <sz val="9"/>
    </font>
    <font>
      <name val="Calibri"/>
      <b val="1"/>
      <color rgb="FFFFFFFF"/>
      <sz val="9"/>
    </font>
    <font>
      <name val="Calibri"/>
      <i val="1"/>
      <sz val="9"/>
    </font>
    <font>
      <name val="Calibri"/>
      <b val="1"/>
      <sz val="11"/>
    </font>
    <font>
      <name val="Calibri"/>
      <b val="1"/>
      <sz val="10"/>
    </font>
    <font>
      <name val="Calibri"/>
      <b val="1"/>
      <color rgb="FFFFFFFF"/>
      <sz val="10"/>
    </font>
    <font>
      <name val="Calibri"/>
      <family val="2"/>
      <color theme="1"/>
      <sz val="11"/>
      <scheme val="minor"/>
    </font>
    <font>
      <name val="Calibri"/>
      <family val="2"/>
      <b val="1"/>
      <color rgb="FFFFFFFF"/>
      <sz val="9"/>
    </font>
    <font>
      <name val="Calibri"/>
      <family val="2"/>
      <sz val="9"/>
    </font>
    <font>
      <name val="Calibri"/>
      <family val="2"/>
      <b val="1"/>
      <color rgb="FF1F4E79"/>
      <sz val="9"/>
    </font>
    <font>
      <name val="Calibri"/>
      <family val="2"/>
      <color theme="1"/>
      <sz val="9"/>
      <scheme val="minor"/>
    </font>
    <font>
      <name val="Calibri"/>
      <family val="2"/>
      <i val="1"/>
      <color rgb="FFC00000"/>
      <sz val="9"/>
    </font>
    <font>
      <name val="Calibri"/>
      <family val="2"/>
      <i val="1"/>
      <color rgb="FF666666"/>
      <sz val="9"/>
    </font>
    <font>
      <name val="Calibri"/>
      <family val="2"/>
      <color theme="1"/>
      <sz val="8"/>
      <scheme val="minor"/>
    </font>
    <font>
      <name val="Calibri"/>
      <family val="2"/>
      <b val="1"/>
      <color theme="1"/>
      <sz val="8"/>
      <scheme val="minor"/>
    </font>
    <font>
      <name val="Calibri"/>
      <family val="2"/>
      <b val="1"/>
      <sz val="8"/>
    </font>
    <font>
      <name val="Calibri"/>
      <family val="2"/>
      <sz val="8"/>
    </font>
    <font>
      <name val="Calibri"/>
      <family val="2"/>
      <i val="1"/>
      <color rgb="FF666666"/>
      <sz val="8"/>
    </font>
    <font>
      <name val="Calibri"/>
      <b val="1"/>
      <sz val="9"/>
    </font>
    <font>
      <name val="Calibri"/>
      <i val="1"/>
      <color rgb="FF666666"/>
      <sz val="7"/>
    </font>
    <font>
      <name val="Calibri"/>
      <b val="1"/>
      <color rgb="FF1F4E79"/>
      <sz val="14"/>
    </font>
    <font>
      <name val="Calibri"/>
      <b val="1"/>
      <sz val="8"/>
    </font>
    <font>
      <name val="Calibri"/>
      <i val="1"/>
      <color rgb="FF555555"/>
      <sz val="8"/>
    </font>
    <font>
      <name val="Calibri"/>
      <b val="1"/>
      <color rgb="FFFFFFFF"/>
      <sz val="9"/>
    </font>
    <font>
      <name val="Calibri"/>
      <b val="1"/>
      <sz val="10"/>
    </font>
    <font>
      <name val="Calibri"/>
      <i val="1"/>
      <color rgb="FF666666"/>
      <sz val="8"/>
    </font>
    <font>
      <name val="Calibri"/>
      <b val="1"/>
      <color rgb="FF7F6000"/>
      <sz val="11"/>
    </font>
    <font>
      <b val="1"/>
      <sz val="14"/>
    </font>
    <font>
      <b val="1"/>
      <color rgb="00FFFFFF"/>
    </font>
    <font>
      <b val="1"/>
    </font>
  </fonts>
  <fills count="22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E8F4FD"/>
      </patternFill>
    </fill>
    <fill>
      <patternFill patternType="solid">
        <fgColor rgb="FFFFEB9C"/>
      </patternFill>
    </fill>
    <fill>
      <patternFill patternType="solid">
        <fgColor rgb="FFFFF8E7"/>
      </patternFill>
    </fill>
    <fill>
      <patternFill patternType="solid">
        <fgColor rgb="FFF2F2F2"/>
      </patternFill>
    </fill>
    <fill>
      <patternFill patternType="solid">
        <fgColor rgb="FFC6EFCE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D6EAF8"/>
      </patternFill>
    </fill>
    <fill>
      <patternFill patternType="solid">
        <fgColor rgb="FFD5F5E3"/>
      </patternFill>
    </fill>
    <fill>
      <patternFill patternType="solid">
        <fgColor rgb="FFFCF3CF"/>
      </patternFill>
    </fill>
    <fill>
      <patternFill patternType="solid">
        <fgColor rgb="FFFAD7A0"/>
      </patternFill>
    </fill>
    <fill>
      <patternFill patternType="solid">
        <fgColor rgb="FFE8DAEF"/>
      </patternFill>
    </fill>
    <fill>
      <patternFill patternType="solid">
        <fgColor rgb="FF1F4E79"/>
      </patternFill>
    </fill>
    <fill>
      <patternFill patternType="solid">
        <fgColor rgb="FFC8E6C9"/>
      </patternFill>
    </fill>
    <fill>
      <patternFill patternType="solid">
        <fgColor rgb="001e3a5f"/>
      </patternFill>
    </fill>
    <fill>
      <patternFill patternType="solid">
        <fgColor rgb="00D9EAD3"/>
      </patternFill>
    </fill>
    <fill>
      <patternFill patternType="solid">
        <fgColor rgb="00FFF2CC"/>
      </patternFill>
    </fill>
  </fills>
  <borders count="9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  <border>
      <left style="thin">
        <color rgb="FF888888"/>
      </left>
      <right style="thin">
        <color rgb="FF888888"/>
      </right>
      <top style="thin">
        <color rgb="FF888888"/>
      </top>
      <bottom style="thin">
        <color rgb="FF888888"/>
      </bottom>
      <diagonal/>
    </border>
    <border>
      <left/>
      <right/>
      <top style="thin">
        <color theme="1" tint="0.499984740745262"/>
      </top>
      <bottom/>
      <diagonal/>
    </border>
    <border>
      <left/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3">
    <xf numFmtId="0" fontId="9" fillId="0" borderId="0"/>
    <xf numFmtId="44" fontId="9" fillId="0" borderId="0"/>
    <xf numFmtId="9" fontId="9" fillId="0" borderId="0"/>
  </cellStyleXfs>
  <cellXfs count="15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/>
    </xf>
    <xf numFmtId="0" fontId="0" fillId="0" borderId="1" pivotButton="0" quotePrefix="0" xfId="0"/>
    <xf numFmtId="0" fontId="5" fillId="0" borderId="0" pivotButton="0" quotePrefix="0" xfId="0"/>
    <xf numFmtId="0" fontId="3" fillId="0" borderId="1" pivotButton="0" quotePrefix="0" xfId="0"/>
    <xf numFmtId="164" fontId="3" fillId="0" borderId="1" applyAlignment="1" pivotButton="0" quotePrefix="0" xfId="0">
      <alignment horizontal="center" vertical="center" wrapText="1"/>
    </xf>
    <xf numFmtId="164" fontId="6" fillId="7" borderId="1" pivotButton="0" quotePrefix="0" xfId="0"/>
    <xf numFmtId="0" fontId="3" fillId="3" borderId="1" pivotButton="0" quotePrefix="0" xfId="0"/>
    <xf numFmtId="164" fontId="3" fillId="3" borderId="1" applyAlignment="1" pivotButton="0" quotePrefix="0" xfId="0">
      <alignment horizontal="center" vertical="center" wrapText="1"/>
    </xf>
    <xf numFmtId="164" fontId="6" fillId="0" borderId="1" pivotButton="0" quotePrefix="0" xfId="0"/>
    <xf numFmtId="0" fontId="7" fillId="0" borderId="0" pivotButton="0" quotePrefix="0" xfId="0"/>
    <xf numFmtId="164" fontId="8" fillId="2" borderId="1" pivotButton="0" quotePrefix="0" xfId="0"/>
    <xf numFmtId="0" fontId="0" fillId="0" borderId="2" pivotButton="0" quotePrefix="0" xfId="0"/>
    <xf numFmtId="49" fontId="4" fillId="2" borderId="1" applyAlignment="1" pivotButton="0" quotePrefix="0" xfId="0">
      <alignment horizontal="center" vertical="center" wrapText="1"/>
    </xf>
    <xf numFmtId="165" fontId="4" fillId="2" borderId="1" applyAlignment="1" pivotButton="0" quotePrefix="0" xfId="1">
      <alignment horizontal="center" vertical="center" wrapText="1"/>
    </xf>
    <xf numFmtId="0" fontId="12" fillId="0" borderId="0" pivotButton="0" quotePrefix="0" xfId="0"/>
    <xf numFmtId="0" fontId="13" fillId="0" borderId="0" pivotButton="0" quotePrefix="0" xfId="0"/>
    <xf numFmtId="0" fontId="14" fillId="0" borderId="0" pivotButton="0" quotePrefix="0" xfId="0"/>
    <xf numFmtId="0" fontId="10" fillId="2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left" vertical="center"/>
    </xf>
    <xf numFmtId="166" fontId="11" fillId="0" borderId="1" applyAlignment="1" pivotButton="0" quotePrefix="0" xfId="0">
      <alignment horizontal="center" vertical="center" wrapText="1"/>
    </xf>
    <xf numFmtId="0" fontId="11" fillId="3" borderId="1" applyAlignment="1" pivotButton="0" quotePrefix="0" xfId="0">
      <alignment horizontal="center" vertical="center" wrapText="1"/>
    </xf>
    <xf numFmtId="0" fontId="11" fillId="3" borderId="1" applyAlignment="1" pivotButton="0" quotePrefix="0" xfId="0">
      <alignment horizontal="left" vertical="center"/>
    </xf>
    <xf numFmtId="166" fontId="11" fillId="3" borderId="1" applyAlignment="1" pivotButton="0" quotePrefix="0" xfId="0">
      <alignment horizontal="center" vertical="center" wrapText="1"/>
    </xf>
    <xf numFmtId="0" fontId="15" fillId="0" borderId="0" pivotButton="0" quotePrefix="0" xfId="0"/>
    <xf numFmtId="0" fontId="13" fillId="3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center" vertical="center"/>
    </xf>
    <xf numFmtId="0" fontId="16" fillId="6" borderId="1" applyAlignment="1" pivotButton="0" quotePrefix="0" xfId="0">
      <alignment horizontal="center" vertical="center" wrapText="1"/>
    </xf>
    <xf numFmtId="0" fontId="17" fillId="6" borderId="1" applyAlignment="1" pivotButton="0" quotePrefix="0" xfId="0">
      <alignment horizontal="left" vertical="center" wrapText="1"/>
    </xf>
    <xf numFmtId="49" fontId="16" fillId="6" borderId="1" applyAlignment="1" pivotButton="0" quotePrefix="0" xfId="0">
      <alignment horizontal="center" vertical="center" wrapText="1"/>
    </xf>
    <xf numFmtId="0" fontId="16" fillId="0" borderId="0" pivotButton="0" quotePrefix="0" xfId="0"/>
    <xf numFmtId="0" fontId="18" fillId="3" borderId="1" applyAlignment="1" pivotButton="0" quotePrefix="0" xfId="0">
      <alignment horizontal="left" vertical="center"/>
    </xf>
    <xf numFmtId="0" fontId="19" fillId="3" borderId="1" applyAlignment="1" pivotButton="0" quotePrefix="0" xfId="0">
      <alignment horizontal="center" vertical="center" wrapText="1"/>
    </xf>
    <xf numFmtId="49" fontId="16" fillId="3" borderId="1" applyAlignment="1" pivotButton="0" quotePrefix="0" xfId="0">
      <alignment horizontal="center" vertical="center" wrapText="1"/>
    </xf>
    <xf numFmtId="0" fontId="16" fillId="3" borderId="1" applyAlignment="1" pivotButton="0" quotePrefix="0" xfId="0">
      <alignment horizontal="center" vertical="center" wrapText="1"/>
    </xf>
    <xf numFmtId="0" fontId="16" fillId="3" borderId="1" applyAlignment="1" pivotButton="0" quotePrefix="0" xfId="0">
      <alignment horizontal="left" vertical="center"/>
    </xf>
    <xf numFmtId="0" fontId="18" fillId="5" borderId="1" applyAlignment="1" pivotButton="0" quotePrefix="0" xfId="0">
      <alignment horizontal="left" vertical="center"/>
    </xf>
    <xf numFmtId="0" fontId="19" fillId="5" borderId="1" applyAlignment="1" pivotButton="0" quotePrefix="0" xfId="0">
      <alignment horizontal="center" vertical="center" wrapText="1"/>
    </xf>
    <xf numFmtId="49" fontId="16" fillId="5" borderId="1" applyAlignment="1" pivotButton="0" quotePrefix="0" xfId="0">
      <alignment horizontal="center" vertical="center" wrapText="1"/>
    </xf>
    <xf numFmtId="0" fontId="16" fillId="5" borderId="1" applyAlignment="1" pivotButton="0" quotePrefix="0" xfId="0">
      <alignment horizontal="center" vertical="center" wrapText="1"/>
    </xf>
    <xf numFmtId="0" fontId="16" fillId="5" borderId="1" applyAlignment="1" pivotButton="0" quotePrefix="0" xfId="0">
      <alignment horizontal="left" vertical="center"/>
    </xf>
    <xf numFmtId="0" fontId="13" fillId="3" borderId="1" applyAlignment="1" pivotButton="0" quotePrefix="0" xfId="0">
      <alignment horizontal="left" vertical="center"/>
    </xf>
    <xf numFmtId="0" fontId="13" fillId="0" borderId="1" applyAlignment="1" pivotButton="0" quotePrefix="0" xfId="0">
      <alignment horizontal="left" vertical="center"/>
    </xf>
    <xf numFmtId="14" fontId="13" fillId="3" borderId="1" applyAlignment="1" pivotButton="0" quotePrefix="0" xfId="0">
      <alignment horizontal="center" vertical="center"/>
    </xf>
    <xf numFmtId="14" fontId="13" fillId="0" borderId="1" applyAlignment="1" pivotButton="0" quotePrefix="0" xfId="0">
      <alignment horizontal="center" vertical="center"/>
    </xf>
    <xf numFmtId="167" fontId="0" fillId="0" borderId="0" pivotButton="0" quotePrefix="0" xfId="0"/>
    <xf numFmtId="0" fontId="22" fillId="0" borderId="0" pivotButton="0" quotePrefix="0" xfId="0"/>
    <xf numFmtId="168" fontId="16" fillId="3" borderId="1" applyAlignment="1" pivotButton="0" quotePrefix="0" xfId="2">
      <alignment horizontal="center" vertical="center" wrapText="1"/>
    </xf>
    <xf numFmtId="168" fontId="16" fillId="5" borderId="1" applyAlignment="1" pivotButton="0" quotePrefix="0" xfId="2">
      <alignment horizontal="center" vertical="center" wrapText="1"/>
    </xf>
    <xf numFmtId="168" fontId="16" fillId="6" borderId="1" applyAlignment="1" pivotButton="0" quotePrefix="0" xfId="2">
      <alignment horizontal="center" vertical="center" wrapText="1"/>
    </xf>
    <xf numFmtId="169" fontId="16" fillId="6" borderId="1" applyAlignment="1" pivotButton="0" quotePrefix="0" xfId="0">
      <alignment horizontal="center" vertical="center" wrapText="1"/>
    </xf>
    <xf numFmtId="2" fontId="16" fillId="3" borderId="1" applyAlignment="1" pivotButton="0" quotePrefix="0" xfId="0">
      <alignment horizontal="center" vertical="center" wrapText="1"/>
    </xf>
    <xf numFmtId="2" fontId="16" fillId="5" borderId="1" applyAlignment="1" pivotButton="0" quotePrefix="0" xfId="0">
      <alignment horizontal="center" vertical="center" wrapText="1"/>
    </xf>
    <xf numFmtId="169" fontId="16" fillId="5" borderId="1" applyAlignment="1" pivotButton="0" quotePrefix="0" xfId="0">
      <alignment horizontal="center" vertical="center" wrapText="1"/>
    </xf>
    <xf numFmtId="169" fontId="16" fillId="3" borderId="1" applyAlignment="1" pivotButton="0" quotePrefix="0" xfId="0">
      <alignment horizontal="center" vertical="center" wrapText="1"/>
    </xf>
    <xf numFmtId="0" fontId="17" fillId="8" borderId="1" applyAlignment="1" pivotButton="0" quotePrefix="0" xfId="0">
      <alignment horizontal="left" vertical="center" wrapText="1"/>
    </xf>
    <xf numFmtId="0" fontId="16" fillId="8" borderId="1" applyAlignment="1" pivotButton="0" quotePrefix="0" xfId="0">
      <alignment horizontal="center" vertical="center" wrapText="1"/>
    </xf>
    <xf numFmtId="49" fontId="16" fillId="8" borderId="1" applyAlignment="1" pivotButton="0" quotePrefix="0" xfId="0">
      <alignment horizontal="center" vertical="center" wrapText="1"/>
    </xf>
    <xf numFmtId="168" fontId="16" fillId="8" borderId="1" applyAlignment="1" pivotButton="0" quotePrefix="0" xfId="2">
      <alignment horizontal="center" vertical="center" wrapText="1"/>
    </xf>
    <xf numFmtId="169" fontId="16" fillId="8" borderId="1" applyAlignment="1" pivotButton="0" quotePrefix="0" xfId="0">
      <alignment horizontal="center" vertical="center" wrapText="1"/>
    </xf>
    <xf numFmtId="0" fontId="17" fillId="9" borderId="1" applyAlignment="1" pivotButton="0" quotePrefix="0" xfId="0">
      <alignment horizontal="left" vertical="center" wrapText="1"/>
    </xf>
    <xf numFmtId="0" fontId="16" fillId="9" borderId="1" applyAlignment="1" pivotButton="0" quotePrefix="0" xfId="0">
      <alignment horizontal="center" vertical="center" wrapText="1"/>
    </xf>
    <xf numFmtId="49" fontId="16" fillId="9" borderId="1" applyAlignment="1" pivotButton="0" quotePrefix="0" xfId="0">
      <alignment horizontal="center" vertical="center" wrapText="1"/>
    </xf>
    <xf numFmtId="168" fontId="16" fillId="9" borderId="1" applyAlignment="1" pivotButton="0" quotePrefix="0" xfId="2">
      <alignment horizontal="center" vertical="center" wrapText="1"/>
    </xf>
    <xf numFmtId="169" fontId="16" fillId="9" borderId="1" applyAlignment="1" pivotButton="0" quotePrefix="0" xfId="0">
      <alignment horizontal="center" vertical="center" wrapText="1"/>
    </xf>
    <xf numFmtId="0" fontId="17" fillId="10" borderId="1" applyAlignment="1" pivotButton="0" quotePrefix="0" xfId="0">
      <alignment horizontal="left" vertical="center" wrapText="1"/>
    </xf>
    <xf numFmtId="0" fontId="16" fillId="10" borderId="1" applyAlignment="1" pivotButton="0" quotePrefix="0" xfId="0">
      <alignment horizontal="center" vertical="center" wrapText="1"/>
    </xf>
    <xf numFmtId="49" fontId="16" fillId="10" borderId="1" applyAlignment="1" pivotButton="0" quotePrefix="0" xfId="0">
      <alignment horizontal="center" vertical="center" wrapText="1"/>
    </xf>
    <xf numFmtId="168" fontId="16" fillId="10" borderId="1" applyAlignment="1" pivotButton="0" quotePrefix="0" xfId="2">
      <alignment horizontal="center" vertical="center" wrapText="1"/>
    </xf>
    <xf numFmtId="169" fontId="16" fillId="10" borderId="1" applyAlignment="1" pivotButton="0" quotePrefix="0" xfId="0">
      <alignment horizontal="center" vertical="center" wrapText="1"/>
    </xf>
    <xf numFmtId="0" fontId="18" fillId="10" borderId="1" applyAlignment="1" pivotButton="0" quotePrefix="0" xfId="0">
      <alignment horizontal="left" vertical="center"/>
    </xf>
    <xf numFmtId="0" fontId="19" fillId="10" borderId="1" applyAlignment="1" pivotButton="0" quotePrefix="0" xfId="0">
      <alignment horizontal="center" vertical="center" wrapText="1"/>
    </xf>
    <xf numFmtId="0" fontId="16" fillId="10" borderId="1" applyAlignment="1" pivotButton="0" quotePrefix="0" xfId="0">
      <alignment horizontal="left" vertical="center"/>
    </xf>
    <xf numFmtId="0" fontId="24" fillId="12" borderId="5" applyAlignment="1" pivotButton="0" quotePrefix="0" xfId="0">
      <alignment horizontal="center"/>
    </xf>
    <xf numFmtId="0" fontId="24" fillId="13" borderId="5" applyAlignment="1" pivotButton="0" quotePrefix="0" xfId="0">
      <alignment horizontal="center"/>
    </xf>
    <xf numFmtId="0" fontId="24" fillId="14" borderId="5" applyAlignment="1" pivotButton="0" quotePrefix="0" xfId="0">
      <alignment horizontal="center"/>
    </xf>
    <xf numFmtId="0" fontId="24" fillId="15" borderId="5" applyAlignment="1" pivotButton="0" quotePrefix="0" xfId="0">
      <alignment horizontal="center"/>
    </xf>
    <xf numFmtId="0" fontId="24" fillId="16" borderId="5" applyAlignment="1" pivotButton="0" quotePrefix="0" xfId="0">
      <alignment horizontal="center"/>
    </xf>
    <xf numFmtId="0" fontId="25" fillId="0" borderId="0" pivotButton="0" quotePrefix="0" xfId="0"/>
    <xf numFmtId="0" fontId="26" fillId="17" borderId="5" applyAlignment="1" pivotButton="0" quotePrefix="0" xfId="0">
      <alignment horizontal="center" vertical="center" wrapText="1"/>
    </xf>
    <xf numFmtId="0" fontId="3" fillId="12" borderId="5" applyAlignment="1" pivotButton="0" quotePrefix="0" xfId="0">
      <alignment horizontal="left"/>
    </xf>
    <xf numFmtId="0" fontId="3" fillId="12" borderId="5" applyAlignment="1" pivotButton="0" quotePrefix="0" xfId="0">
      <alignment horizontal="center"/>
    </xf>
    <xf numFmtId="167" fontId="3" fillId="12" borderId="5" applyAlignment="1" pivotButton="0" quotePrefix="0" xfId="0">
      <alignment horizontal="center"/>
    </xf>
    <xf numFmtId="167" fontId="21" fillId="12" borderId="5" applyAlignment="1" pivotButton="0" quotePrefix="0" xfId="0">
      <alignment horizontal="center"/>
    </xf>
    <xf numFmtId="170" fontId="21" fillId="12" borderId="5" applyAlignment="1" pivotButton="0" quotePrefix="0" xfId="0">
      <alignment horizontal="center"/>
    </xf>
    <xf numFmtId="0" fontId="0" fillId="12" borderId="5" pivotButton="0" quotePrefix="0" xfId="0"/>
    <xf numFmtId="0" fontId="3" fillId="0" borderId="5" applyAlignment="1" pivotButton="0" quotePrefix="0" xfId="0">
      <alignment horizontal="left"/>
    </xf>
    <xf numFmtId="0" fontId="3" fillId="0" borderId="5" applyAlignment="1" pivotButton="0" quotePrefix="0" xfId="0">
      <alignment horizontal="center"/>
    </xf>
    <xf numFmtId="167" fontId="3" fillId="0" borderId="5" applyAlignment="1" pivotButton="0" quotePrefix="0" xfId="0">
      <alignment horizontal="center"/>
    </xf>
    <xf numFmtId="167" fontId="21" fillId="0" borderId="5" applyAlignment="1" pivotButton="0" quotePrefix="0" xfId="0">
      <alignment horizontal="center"/>
    </xf>
    <xf numFmtId="170" fontId="21" fillId="0" borderId="5" applyAlignment="1" pivotButton="0" quotePrefix="0" xfId="0">
      <alignment horizontal="center"/>
    </xf>
    <xf numFmtId="0" fontId="0" fillId="0" borderId="5" pivotButton="0" quotePrefix="0" xfId="0"/>
    <xf numFmtId="0" fontId="3" fillId="14" borderId="5" applyAlignment="1" pivotButton="0" quotePrefix="0" xfId="0">
      <alignment horizontal="left"/>
    </xf>
    <xf numFmtId="0" fontId="3" fillId="14" borderId="5" applyAlignment="1" pivotButton="0" quotePrefix="0" xfId="0">
      <alignment horizontal="center"/>
    </xf>
    <xf numFmtId="167" fontId="3" fillId="14" borderId="5" applyAlignment="1" pivotButton="0" quotePrefix="0" xfId="0">
      <alignment horizontal="center"/>
    </xf>
    <xf numFmtId="167" fontId="21" fillId="14" borderId="5" applyAlignment="1" pivotButton="0" quotePrefix="0" xfId="0">
      <alignment horizontal="center"/>
    </xf>
    <xf numFmtId="170" fontId="21" fillId="14" borderId="5" applyAlignment="1" pivotButton="0" quotePrefix="0" xfId="0">
      <alignment horizontal="center"/>
    </xf>
    <xf numFmtId="0" fontId="0" fillId="14" borderId="5" pivotButton="0" quotePrefix="0" xfId="0"/>
    <xf numFmtId="0" fontId="27" fillId="0" borderId="5" applyAlignment="1" pivotButton="0" quotePrefix="0" xfId="0">
      <alignment horizontal="right"/>
    </xf>
    <xf numFmtId="167" fontId="27" fillId="18" borderId="5" pivotButton="0" quotePrefix="0" xfId="0"/>
    <xf numFmtId="170" fontId="27" fillId="18" borderId="5" pivotButton="0" quotePrefix="0" xfId="0"/>
    <xf numFmtId="0" fontId="28" fillId="0" borderId="0" pivotButton="0" quotePrefix="0" xfId="0"/>
    <xf numFmtId="0" fontId="29" fillId="0" borderId="0" pivotButton="0" quotePrefix="0" xfId="0"/>
    <xf numFmtId="168" fontId="3" fillId="12" borderId="5" applyAlignment="1" pivotButton="0" quotePrefix="0" xfId="0">
      <alignment horizontal="center"/>
    </xf>
    <xf numFmtId="168" fontId="3" fillId="0" borderId="5" applyAlignment="1" pivotButton="0" quotePrefix="0" xfId="0">
      <alignment horizontal="center"/>
    </xf>
    <xf numFmtId="168" fontId="3" fillId="14" borderId="5" applyAlignment="1" pivotButton="0" quotePrefix="0" xfId="0">
      <alignment horizontal="center"/>
    </xf>
    <xf numFmtId="171" fontId="0" fillId="11" borderId="5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20" fillId="0" borderId="0" applyAlignment="1" pivotButton="0" quotePrefix="0" xfId="0">
      <alignment horizontal="center" vertical="center"/>
    </xf>
    <xf numFmtId="0" fontId="16" fillId="0" borderId="0" pivotButton="0" quotePrefix="0" xfId="0"/>
    <xf numFmtId="0" fontId="0" fillId="0" borderId="2" applyAlignment="1" pivotButton="0" quotePrefix="0" xfId="0">
      <alignment horizontal="right" vertical="center"/>
    </xf>
    <xf numFmtId="0" fontId="0" fillId="0" borderId="3" pivotButton="0" quotePrefix="0" xfId="0"/>
    <xf numFmtId="0" fontId="0" fillId="0" borderId="2" applyAlignment="1" pivotButton="0" quotePrefix="0" xfId="0">
      <alignment horizontal="left" vertical="center"/>
    </xf>
    <xf numFmtId="0" fontId="0" fillId="0" borderId="4" pivotButton="0" quotePrefix="0" xfId="0"/>
    <xf numFmtId="0" fontId="2" fillId="0" borderId="0" applyAlignment="1" pivotButton="0" quotePrefix="0" xfId="0">
      <alignment horizontal="center" vertical="center"/>
    </xf>
    <xf numFmtId="0" fontId="0" fillId="4" borderId="2" applyAlignment="1" pivotButton="0" quotePrefix="0" xfId="0">
      <alignment horizontal="left" vertical="center"/>
    </xf>
    <xf numFmtId="0" fontId="23" fillId="0" borderId="0" pivotButton="0" quotePrefix="0" xfId="0"/>
    <xf numFmtId="0" fontId="21" fillId="0" borderId="0" pivotButton="0" quotePrefix="0" xfId="0"/>
    <xf numFmtId="165" fontId="4" fillId="2" borderId="1" applyAlignment="1" pivotButton="0" quotePrefix="0" xfId="1">
      <alignment horizontal="center" vertical="center" wrapText="1"/>
    </xf>
    <xf numFmtId="167" fontId="0" fillId="0" borderId="0" pivotButton="0" quotePrefix="0" xfId="0"/>
    <xf numFmtId="167" fontId="3" fillId="12" borderId="5" applyAlignment="1" pivotButton="0" quotePrefix="0" xfId="0">
      <alignment horizontal="center"/>
    </xf>
    <xf numFmtId="167" fontId="21" fillId="12" borderId="5" applyAlignment="1" pivotButton="0" quotePrefix="0" xfId="0">
      <alignment horizontal="center"/>
    </xf>
    <xf numFmtId="170" fontId="21" fillId="12" borderId="5" applyAlignment="1" pivotButton="0" quotePrefix="0" xfId="0">
      <alignment horizontal="center"/>
    </xf>
    <xf numFmtId="167" fontId="3" fillId="0" borderId="5" applyAlignment="1" pivotButton="0" quotePrefix="0" xfId="0">
      <alignment horizontal="center"/>
    </xf>
    <xf numFmtId="167" fontId="21" fillId="0" borderId="5" applyAlignment="1" pivotButton="0" quotePrefix="0" xfId="0">
      <alignment horizontal="center"/>
    </xf>
    <xf numFmtId="170" fontId="21" fillId="0" borderId="5" applyAlignment="1" pivotButton="0" quotePrefix="0" xfId="0">
      <alignment horizontal="center"/>
    </xf>
    <xf numFmtId="167" fontId="3" fillId="14" borderId="5" applyAlignment="1" pivotButton="0" quotePrefix="0" xfId="0">
      <alignment horizontal="center"/>
    </xf>
    <xf numFmtId="167" fontId="21" fillId="14" borderId="5" applyAlignment="1" pivotButton="0" quotePrefix="0" xfId="0">
      <alignment horizontal="center"/>
    </xf>
    <xf numFmtId="170" fontId="21" fillId="14" borderId="5" applyAlignment="1" pivotButton="0" quotePrefix="0" xfId="0">
      <alignment horizontal="center"/>
    </xf>
    <xf numFmtId="167" fontId="27" fillId="18" borderId="5" pivotButton="0" quotePrefix="0" xfId="0"/>
    <xf numFmtId="170" fontId="27" fillId="18" borderId="5" pivotButton="0" quotePrefix="0" xfId="0"/>
    <xf numFmtId="171" fontId="0" fillId="11" borderId="5" pivotButton="0" quotePrefix="0" xfId="0"/>
    <xf numFmtId="166" fontId="11" fillId="0" borderId="1" applyAlignment="1" pivotButton="0" quotePrefix="0" xfId="0">
      <alignment horizontal="center" vertical="center" wrapText="1"/>
    </xf>
    <xf numFmtId="166" fontId="11" fillId="3" borderId="1" applyAlignment="1" pivotButton="0" quotePrefix="0" xfId="0">
      <alignment horizontal="center" vertical="center" wrapText="1"/>
    </xf>
    <xf numFmtId="0" fontId="13" fillId="3" borderId="8" applyAlignment="1" pivotButton="0" quotePrefix="0" xfId="0">
      <alignment horizontal="center" vertical="center"/>
    </xf>
    <xf numFmtId="0" fontId="13" fillId="3" borderId="8" applyAlignment="1" pivotButton="0" quotePrefix="0" xfId="0">
      <alignment horizontal="left" vertical="center"/>
    </xf>
    <xf numFmtId="0" fontId="13" fillId="0" borderId="8" applyAlignment="1" pivotButton="0" quotePrefix="0" xfId="0">
      <alignment horizontal="center" vertical="center"/>
    </xf>
    <xf numFmtId="0" fontId="13" fillId="0" borderId="8" applyAlignment="1" pivotButton="0" quotePrefix="0" xfId="0">
      <alignment horizontal="left" vertical="center"/>
    </xf>
    <xf numFmtId="0" fontId="0" fillId="0" borderId="8" pivotButton="0" quotePrefix="0" xfId="0"/>
    <xf numFmtId="0" fontId="32" fillId="0" borderId="0" pivotButton="0" quotePrefix="0" xfId="0"/>
    <xf numFmtId="0" fontId="0" fillId="21" borderId="1" pivotButton="0" quotePrefix="0" xfId="0"/>
    <xf numFmtId="0" fontId="30" fillId="0" borderId="0" pivotButton="0" quotePrefix="0" xfId="0"/>
    <xf numFmtId="0" fontId="31" fillId="19" borderId="0" applyAlignment="1" pivotButton="0" quotePrefix="0" xfId="0">
      <alignment horizontal="center" wrapText="1"/>
    </xf>
    <xf numFmtId="0" fontId="32" fillId="20" borderId="0" pivotButton="0" quotePrefix="0" xfId="0"/>
    <xf numFmtId="0" fontId="0" fillId="20" borderId="0" pivotButton="0" quotePrefix="0" xfId="0"/>
  </cellXfs>
  <cellStyles count="3">
    <cellStyle name="Normal" xfId="0" builtinId="0"/>
    <cellStyle name="Moneda" xfId="1" builtinId="4"/>
    <cellStyle name="Porcentaje" xfId="2" builtinId="5"/>
  </cellStyles>
  <dxfs count="11">
    <dxf>
      <font>
        <name val="Calibri"/>
        <strike val="0"/>
        <outline val="0"/>
        <shadow val="0"/>
        <sz val="9"/>
        <vertAlign val="baseline"/>
      </font>
    </dxf>
    <dxf>
      <font>
        <name val="Calibri"/>
        <strike val="0"/>
        <outline val="0"/>
        <shadow val="0"/>
        <sz val="9"/>
        <vertAlign val="baseline"/>
      </font>
    </dxf>
    <dxf>
      <font>
        <name val="Calibri"/>
        <strike val="0"/>
        <outline val="0"/>
        <shadow val="0"/>
        <sz val="9"/>
        <vertAlign val="baseline"/>
      </font>
    </dxf>
    <dxf>
      <font>
        <name val="Calibri"/>
        <strike val="0"/>
        <outline val="0"/>
        <shadow val="0"/>
        <sz val="9"/>
        <vertAlign val="baseline"/>
      </font>
    </dxf>
    <dxf>
      <font>
        <name val="Calibri"/>
        <strike val="0"/>
        <outline val="0"/>
        <shadow val="0"/>
        <sz val="9"/>
        <vertAlign val="baseline"/>
      </font>
    </dxf>
    <dxf>
      <font>
        <name val="Calibri"/>
        <strike val="0"/>
        <outline val="0"/>
        <shadow val="0"/>
        <sz val="9"/>
        <vertAlign val="baseline"/>
      </font>
    </dxf>
    <dxf>
      <font>
        <name val="Calibri"/>
        <strike val="0"/>
        <outline val="0"/>
        <shadow val="0"/>
        <sz val="9"/>
        <vertAlign val="baseline"/>
      </font>
      <border outline="0">
        <left style="thin">
          <color rgb="FF808080"/>
        </left>
      </border>
    </dxf>
    <dxf>
      <font>
        <name val="Calibri"/>
        <strike val="0"/>
        <outline val="0"/>
        <shadow val="0"/>
        <sz val="9"/>
        <vertAlign val="baseline"/>
      </font>
      <alignment horizontal="center" vertical="center"/>
    </dxf>
    <dxf>
      <font>
        <name val="Calibri"/>
        <strike val="0"/>
        <outline val="0"/>
        <shadow val="0"/>
        <sz val="9"/>
        <vertAlign val="baseline"/>
      </font>
    </dxf>
    <dxf>
      <font>
        <name val="Calibri"/>
        <strike val="0"/>
        <outline val="0"/>
        <shadow val="0"/>
        <sz val="9"/>
        <vertAlign val="baseline"/>
      </font>
    </dxf>
    <dxf>
      <font>
        <name val="Calibri"/>
        <strike val="0"/>
        <outline val="0"/>
        <shadow val="0"/>
        <sz val="9"/>
        <vertAlign val="baseline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ables/table1.xml><?xml version="1.0" encoding="utf-8"?>
<table xmlns="http://schemas.openxmlformats.org/spreadsheetml/2006/main" id="1" name="TablaTrabajadores" displayName="TablaTrabajadores" ref="A4:H112" headerRowCount="1" headerRowDxfId="10" dataDxfId="9" totalsRowDxfId="8">
  <autoFilter ref="A4:H112"/>
  <tableColumns count="8">
    <tableColumn id="1" name="ID" dataDxfId="7"/>
    <tableColumn id="2" name="Nombre (mostrar)" dataDxfId="6"/>
    <tableColumn id="3" name="Nombre Completo" dataDxfId="5"/>
    <tableColumn id="4" name="Ubic" dataDxfId="4"/>
    <tableColumn id="5" name="Tipo" dataDxfId="3"/>
    <tableColumn id="6" name="Puesto" dataDxfId="2"/>
    <tableColumn id="7" name="Activo" dataDxfId="1"/>
    <tableColumn id="8" name="Fecha Incorporación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aModelos" displayName="TablaModelos" ref="A3:E37" headerRowCount="1">
  <autoFilter ref="A3:E37"/>
  <tableColumns count="5">
    <tableColumn id="1" name="Modelo"/>
    <tableColumn id="2" name="Tipo"/>
    <tableColumn id="3" name="Material Default"/>
    <tableColumn id="4" name="Tarifa Default ($)"/>
    <tableColumn id="5" name="Notas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ablaTarifas" displayName="TablaTarifas" ref="A3:C7" headerRowCount="1">
  <autoFilter ref="A3:C7"/>
  <tableColumns count="3">
    <tableColumn id="1" name="Material"/>
    <tableColumn id="2" name="Tarifa por Gramo ($)"/>
    <tableColumn id="3" name="Descripción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4"/>
  <sheetViews>
    <sheetView workbookViewId="0">
      <selection activeCell="A1" sqref="A1"/>
    </sheetView>
  </sheetViews>
  <sheetFormatPr baseColWidth="10" defaultColWidth="9.140625" defaultRowHeight="15"/>
  <cols>
    <col width="110" customWidth="1" style="116" min="1" max="1"/>
  </cols>
  <sheetData>
    <row r="1" ht="17.25" customHeight="1" s="116">
      <c r="A1" s="1" t="inlineStr">
        <is>
          <t>TALLER DE FAJOS CENTRAL — SISTEMA DE NÓMINAS OPTIMIZADO 2026</t>
        </is>
      </c>
    </row>
    <row r="3">
      <c r="A3" s="2" t="inlineStr">
        <is>
          <t>CÓMO USAR ESTE ARCHIVO (versión automatizada)</t>
        </is>
      </c>
    </row>
    <row r="4">
      <c r="A4" s="3" t="n"/>
    </row>
    <row r="5">
      <c r="A5" s="3" t="inlineStr">
        <is>
          <t>FLUJO DIARIO / SEMANAL</t>
        </is>
      </c>
    </row>
    <row r="6">
      <c r="A6" s="3" t="inlineStr">
        <is>
          <t>1. Agrega o activa trabajadores en la hoja 'Trabajadores' (Tipo con PLT + Activo = Sí).</t>
        </is>
      </c>
    </row>
    <row r="7">
      <c r="A7" s="3" t="inlineStr">
        <is>
          <t>2. En 'Nomina-Imprimir' los trabajadores activos de PLT ya aparecen. Usa las filas grises/extra para nuevos.</t>
        </is>
      </c>
    </row>
    <row r="8">
      <c r="A8" s="3" t="inlineStr">
        <is>
          <t>3. Llena Folio, Modelo, Material, $/Gr y gramos por día SOLO en 'Nomina-Imprimir'.</t>
        </is>
      </c>
    </row>
    <row r="9">
      <c r="A9" s="3" t="inlineStr">
        <is>
          <t>4. Ve a 'Nomina-Formal' → se llena sola, calcula Total Gramos y Efectivo.</t>
        </is>
      </c>
    </row>
    <row r="10">
      <c r="A10" s="3" t="inlineStr">
        <is>
          <t>5. Imprime 'Nomina-Formal' para que firmen.</t>
        </is>
      </c>
    </row>
    <row r="11">
      <c r="A11" s="3" t="inlineStr">
        <is>
          <t>6. Anota los totales de la semana en 'Resumen Nóminas'.</t>
        </is>
      </c>
    </row>
    <row r="12">
      <c r="A12" s="3" t="n"/>
    </row>
    <row r="13">
      <c r="A13" s="3" t="inlineStr">
        <is>
          <t>AGREGAR UN TRABAJADOR NUEVO</t>
        </is>
      </c>
    </row>
    <row r="14">
      <c r="A14" s="148" t="inlineStr">
        <is>
          <t>NÓMINAS POR ÁREA</t>
        </is>
      </c>
    </row>
    <row r="15">
      <c r="A15" s="3" t="inlineStr">
        <is>
          <t>• PLATA (PLT): hoja Nomina-Imprimir / Nomina-Formal — gramos × $/Gr.</t>
        </is>
      </c>
    </row>
    <row r="16">
      <c r="A16" s="3" t="inlineStr">
        <is>
          <t>• PITA (PIT): hoja Nomina-PIT — Modelo distinto, Material PITA NxN, Producto (Cinturón), Efectivo.</t>
        </is>
      </c>
    </row>
    <row r="17">
      <c r="A17" s="3" t="inlineStr">
        <is>
          <t>• TALLER (TLL): hoja Nomina-TLL — Puesto, Sueldo, Extras, Total (=Sueldo+Extras).</t>
        </is>
      </c>
    </row>
    <row r="18">
      <c r="A18" s="3" t="inlineStr">
        <is>
          <t>• Trabajadores: un solo catálogo; el campo Tipo define el área (PLT/PIT/TLL). Vistas en BD por área.</t>
        </is>
      </c>
    </row>
    <row r="19">
      <c r="A19" s="3" t="inlineStr">
        <is>
          <t>• Resumen Nóminas: totales PLT + PIT + TLL y gran total de la semana.</t>
        </is>
      </c>
    </row>
    <row r="20">
      <c r="A20" s="3" t="inlineStr">
        <is>
          <t>AUTOMATIZACIONES INCLUIDAS</t>
        </is>
      </c>
    </row>
    <row r="21">
      <c r="A21" s="3" t="inlineStr">
        <is>
          <t>• Nomina-Formal está 100% vinculada a Nomina-Imprimir (datos + cálculos).</t>
        </is>
      </c>
    </row>
    <row r="22">
      <c r="A22" s="3" t="inlineStr">
        <is>
          <t>• Listas desplegables de Material y $/Gr desde Tarifas.</t>
        </is>
      </c>
    </row>
    <row r="23">
      <c r="A23" s="3" t="inlineStr">
        <is>
          <t>• Columna Fecha de Incorporación en Trabajadores.</t>
        </is>
      </c>
    </row>
    <row r="24">
      <c r="A24" s="3" t="inlineStr">
        <is>
          <t>• Colores alternados por persona para facilitar el llenado.</t>
        </is>
      </c>
    </row>
    <row r="25">
      <c r="A25" s="3" t="inlineStr">
        <is>
          <t>• Espacio extra (filas grises) listo para nuevos trabajadores.</t>
        </is>
      </c>
    </row>
    <row r="26">
      <c r="A26" s="3" t="inlineStr">
        <is>
          <t>• Totales generales automáticos en Nomina-Formal y Resumen.</t>
        </is>
      </c>
    </row>
    <row r="27">
      <c r="A27" s="3" t="inlineStr">
        <is>
          <t>• Nomina-Imprimir y Nomina-Formal no muestran ceros (celdas en blanco si no hay datos).</t>
        </is>
      </c>
    </row>
    <row r="28">
      <c r="A28" s="3" t="inlineStr">
        <is>
          <t>SUGERENCIAS ADICIONALES (ya implementadas o fáciles de usar)</t>
        </is>
      </c>
    </row>
    <row r="29">
      <c r="A29" s="3" t="inlineStr">
        <is>
          <t>• Marca Activo = No cuando alguien deje de trabajar → deja de aparecer en nuevas capturas.</t>
        </is>
      </c>
    </row>
    <row r="30">
      <c r="A30" s="3" t="inlineStr">
        <is>
          <t>• Usa la columna Notas de Nomina-Imprimir para observaciones del día.</t>
        </is>
      </c>
    </row>
    <row r="31">
      <c r="A31" s="3" t="inlineStr">
        <is>
          <t>• Al final de cada semana copia los totales de Nomina-Formal a Resumen Nóminas.</t>
        </is>
      </c>
    </row>
    <row r="32">
      <c r="A32" s="3" t="inlineStr">
        <is>
          <t>• Haz una copia de seguridad del archivo cada viernes.</t>
        </is>
      </c>
    </row>
    <row r="34">
      <c r="A34" t="inlineStr">
        <is>
          <t>NOTA: La tarifa por gramo depende del MODELO, no solo del material. AG3 puede ser 12, 13, 14 o 16 según el trabajo (Aros, Mil Hojas, etc.). No forzar una sola tarifa por material.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00B050"/>
    <outlinePr summaryBelow="1" summaryRight="1"/>
    <pageSetUpPr fitToPage="1"/>
  </sheetPr>
  <dimension ref="A1:N225"/>
  <sheetViews>
    <sheetView tabSelected="1" zoomScaleNormal="100" workbookViewId="0">
      <pane xSplit="2" ySplit="5" topLeftCell="C58" activePane="bottomRight" state="frozen"/>
      <selection pane="topRight" activeCell="C1" sqref="C1"/>
      <selection pane="bottomLeft" activeCell="A6" sqref="A6"/>
      <selection pane="bottomRight" activeCell="K71" sqref="K71"/>
    </sheetView>
  </sheetViews>
  <sheetFormatPr baseColWidth="10" defaultColWidth="9.140625" defaultRowHeight="15"/>
  <cols>
    <col width="20" customWidth="1" style="116" min="1" max="1"/>
    <col width="4.42578125" bestFit="1" customWidth="1" style="116" min="2" max="2"/>
    <col width="8.7109375" bestFit="1" customWidth="1" style="116" min="3" max="3"/>
    <col width="14" bestFit="1" customWidth="1" style="116" min="4" max="4"/>
    <col width="7" bestFit="1" customWidth="1" style="116" min="5" max="5"/>
    <col width="6.28515625" bestFit="1" customWidth="1" style="116" min="6" max="6"/>
    <col width="5" bestFit="1" customWidth="1" style="116" min="7" max="7"/>
    <col width="4.5703125" bestFit="1" customWidth="1" style="116" min="8" max="8"/>
    <col width="4" bestFit="1" customWidth="1" style="116" min="9" max="9"/>
    <col width="3.85546875" bestFit="1" customWidth="1" style="116" min="10" max="10"/>
    <col width="4" bestFit="1" customWidth="1" style="116" min="11" max="11"/>
    <col width="3.28515625" bestFit="1" customWidth="1" style="116" min="12" max="13"/>
    <col width="32.7109375" customWidth="1" style="116" min="14" max="14"/>
  </cols>
  <sheetData>
    <row r="1" ht="17.25" customHeight="1" s="116">
      <c r="A1" s="115" t="inlineStr">
        <is>
          <t>Taller de Fajos Central</t>
        </is>
      </c>
    </row>
    <row r="2">
      <c r="A2" s="123" t="inlineStr">
        <is>
          <t>HOJA DE CAPTURA SEMANAL — PLATA (llenar aquí)</t>
        </is>
      </c>
    </row>
    <row r="3">
      <c r="B3" s="119" t="inlineStr">
        <is>
          <t>Semana:</t>
        </is>
      </c>
      <c r="C3" s="120" t="n"/>
      <c r="D3" s="124" t="inlineStr">
        <is>
          <t>16 - 22</t>
        </is>
      </c>
      <c r="E3" s="120" t="n"/>
      <c r="F3" s="19" t="inlineStr">
        <is>
          <t>Mes:</t>
        </is>
      </c>
      <c r="G3" s="124" t="inlineStr">
        <is>
          <t>Agosto</t>
        </is>
      </c>
      <c r="H3" s="122" t="n"/>
      <c r="I3" s="120" t="n"/>
      <c r="J3" s="121" t="inlineStr">
        <is>
          <t>Año: 2026</t>
        </is>
      </c>
      <c r="K3" s="122" t="n"/>
      <c r="L3" s="122" t="n"/>
      <c r="M3" s="120" t="n"/>
    </row>
    <row r="4" ht="9.75" customHeight="1" s="116">
      <c r="A4" s="118" t="n"/>
      <c r="B4" s="118" t="n"/>
      <c r="C4" s="118" t="n"/>
      <c r="D4" s="118" t="n"/>
      <c r="E4" s="118" t="n"/>
      <c r="F4" s="118" t="n"/>
      <c r="G4" s="118" t="n"/>
      <c r="H4" s="118" t="n"/>
      <c r="I4" s="118" t="n"/>
      <c r="J4" s="118" t="n"/>
      <c r="K4" s="118" t="n"/>
      <c r="L4" s="118" t="n"/>
      <c r="M4" s="118" t="n"/>
      <c r="N4" s="118" t="n"/>
    </row>
    <row r="5">
      <c r="A5" s="4" t="inlineStr">
        <is>
          <t>Nombre</t>
        </is>
      </c>
      <c r="B5" s="4" t="inlineStr">
        <is>
          <t>Ubic</t>
        </is>
      </c>
      <c r="C5" s="20" t="inlineStr">
        <is>
          <t>Folio</t>
        </is>
      </c>
      <c r="D5" s="20" t="inlineStr">
        <is>
          <t>Modelo</t>
        </is>
      </c>
      <c r="E5" s="20" t="inlineStr">
        <is>
          <t>Material</t>
        </is>
      </c>
      <c r="F5" s="127" t="inlineStr">
        <is>
          <t>$/Gr</t>
        </is>
      </c>
      <c r="G5" s="4" t="inlineStr">
        <is>
          <t>Sáb</t>
        </is>
      </c>
      <c r="H5" s="4" t="inlineStr">
        <is>
          <t>Dom</t>
        </is>
      </c>
      <c r="I5" s="4" t="inlineStr">
        <is>
          <t>Lun</t>
        </is>
      </c>
      <c r="J5" s="4" t="inlineStr">
        <is>
          <t>Mar</t>
        </is>
      </c>
      <c r="K5" s="4" t="inlineStr">
        <is>
          <t>Mié</t>
        </is>
      </c>
      <c r="L5" s="4" t="inlineStr">
        <is>
          <t>Jue</t>
        </is>
      </c>
      <c r="M5" s="4" t="inlineStr">
        <is>
          <t>Vie</t>
        </is>
      </c>
      <c r="N5" s="4" t="inlineStr">
        <is>
          <t>Notas</t>
        </is>
      </c>
    </row>
    <row r="6" ht="11.25" customFormat="1" customHeight="1" s="118">
      <c r="A6" s="39" t="inlineStr">
        <is>
          <t>Adrián</t>
        </is>
      </c>
      <c r="B6" s="40" t="n">
        <v>737</v>
      </c>
      <c r="C6" s="41" t="inlineStr">
        <is>
          <t>ST-196</t>
        </is>
      </c>
      <c r="D6" s="41" t="inlineStr">
        <is>
          <t>Rombos</t>
        </is>
      </c>
      <c r="E6" s="41" t="inlineStr">
        <is>
          <t>AG3</t>
        </is>
      </c>
      <c r="F6" s="55" t="n">
        <v>12</v>
      </c>
      <c r="G6" s="62" t="n"/>
      <c r="H6" s="62" t="n"/>
      <c r="I6" s="62" t="n">
        <v>3.9</v>
      </c>
      <c r="J6" s="62" t="n"/>
      <c r="K6" s="62" t="n"/>
      <c r="L6" s="62" t="n"/>
      <c r="M6" s="62" t="n"/>
      <c r="N6" s="42" t="n"/>
    </row>
    <row r="7" ht="11.25" customFormat="1" customHeight="1" s="118">
      <c r="A7" s="43" t="n"/>
      <c r="B7" s="42" t="n"/>
      <c r="C7" s="41" t="n"/>
      <c r="D7" s="41" t="n"/>
      <c r="E7" s="41" t="n"/>
      <c r="F7" s="55" t="n"/>
      <c r="G7" s="62" t="n"/>
      <c r="H7" s="62" t="n"/>
      <c r="I7" s="62" t="n"/>
      <c r="J7" s="62" t="n"/>
      <c r="K7" s="62" t="n"/>
      <c r="L7" s="62" t="n"/>
      <c r="M7" s="62" t="n"/>
      <c r="N7" s="42" t="n"/>
    </row>
    <row r="8" ht="11.25" customFormat="1" customHeight="1" s="118">
      <c r="A8" s="43" t="n"/>
      <c r="B8" s="42" t="n"/>
      <c r="C8" s="41" t="n"/>
      <c r="D8" s="41" t="n"/>
      <c r="E8" s="41" t="n"/>
      <c r="F8" s="55" t="n"/>
      <c r="G8" s="62" t="n"/>
      <c r="H8" s="62" t="n"/>
      <c r="I8" s="62" t="n"/>
      <c r="J8" s="62" t="n"/>
      <c r="K8" s="62" t="n"/>
      <c r="L8" s="62" t="n"/>
      <c r="M8" s="62" t="n"/>
      <c r="N8" s="42" t="n"/>
    </row>
    <row r="9" ht="11.25" customFormat="1" customHeight="1" s="118">
      <c r="A9" s="44" t="inlineStr">
        <is>
          <t>Alejandro</t>
        </is>
      </c>
      <c r="B9" s="45" t="n">
        <v>663</v>
      </c>
      <c r="C9" s="46" t="inlineStr">
        <is>
          <t>ST-170</t>
        </is>
      </c>
      <c r="D9" s="46" t="inlineStr">
        <is>
          <t>Cubos</t>
        </is>
      </c>
      <c r="E9" s="46" t="inlineStr">
        <is>
          <t>AG3</t>
        </is>
      </c>
      <c r="F9" s="56" t="n">
        <v>12</v>
      </c>
      <c r="G9" s="61" t="n">
        <v>4.6</v>
      </c>
      <c r="H9" s="61" t="n"/>
      <c r="I9" s="61" t="n">
        <v>3.5</v>
      </c>
      <c r="J9" s="61" t="n">
        <v>4.5</v>
      </c>
      <c r="K9" s="61" t="n"/>
      <c r="L9" s="61" t="n"/>
      <c r="M9" s="61" t="n"/>
      <c r="N9" s="47" t="n"/>
    </row>
    <row r="10" ht="11.25" customFormat="1" customHeight="1" s="118">
      <c r="A10" s="39" t="inlineStr">
        <is>
          <t>Ángel (762)</t>
        </is>
      </c>
      <c r="B10" s="40" t="n">
        <v>762</v>
      </c>
      <c r="C10" s="41" t="inlineStr">
        <is>
          <t>P-215</t>
        </is>
      </c>
      <c r="D10" s="41" t="inlineStr">
        <is>
          <t>Mil Hojas</t>
        </is>
      </c>
      <c r="E10" s="41" t="inlineStr">
        <is>
          <t>AG3</t>
        </is>
      </c>
      <c r="F10" s="55" t="n">
        <v>16</v>
      </c>
      <c r="G10" s="62" t="n">
        <v>5.3</v>
      </c>
      <c r="H10" s="62" t="n">
        <v>3.8</v>
      </c>
      <c r="I10" s="62" t="n">
        <v>12.5</v>
      </c>
      <c r="J10" s="62" t="n">
        <v>3.5</v>
      </c>
      <c r="K10" s="62" t="n">
        <v>9.5</v>
      </c>
      <c r="L10" s="62" t="n"/>
      <c r="M10" s="62" t="n"/>
      <c r="N10" s="42" t="n"/>
    </row>
    <row r="11" ht="11.25" customFormat="1" customHeight="1" s="118">
      <c r="A11" s="39" t="inlineStr">
        <is>
          <t>Ángel (762)</t>
        </is>
      </c>
      <c r="B11" s="40" t="n">
        <v>762</v>
      </c>
      <c r="C11" s="41" t="inlineStr">
        <is>
          <t>P-340</t>
        </is>
      </c>
      <c r="D11" s="41" t="inlineStr">
        <is>
          <t>Bolso</t>
        </is>
      </c>
      <c r="E11" s="41" t="inlineStr">
        <is>
          <t>AG3</t>
        </is>
      </c>
      <c r="F11" s="55" t="n">
        <v>12</v>
      </c>
      <c r="G11" s="62" t="n"/>
      <c r="H11" s="62" t="n"/>
      <c r="I11" s="62" t="n">
        <v>13</v>
      </c>
      <c r="J11" s="62" t="n"/>
      <c r="K11" s="62" t="n"/>
      <c r="L11" s="62" t="n"/>
      <c r="M11" s="62" t="n"/>
      <c r="N11" s="42" t="n"/>
    </row>
    <row r="12" ht="11.25" customFormat="1" customHeight="1" s="118">
      <c r="A12" s="43" t="n"/>
      <c r="B12" s="42" t="n"/>
      <c r="C12" s="41" t="n"/>
      <c r="D12" s="41" t="n"/>
      <c r="E12" s="41" t="n"/>
      <c r="F12" s="55" t="n"/>
      <c r="G12" s="62" t="n"/>
      <c r="H12" s="62" t="n"/>
      <c r="I12" s="62" t="n"/>
      <c r="J12" s="62" t="n"/>
      <c r="K12" s="62" t="n"/>
      <c r="L12" s="62" t="n"/>
      <c r="M12" s="62" t="n"/>
      <c r="N12" s="42" t="n"/>
    </row>
    <row r="13" ht="11.25" customFormat="1" customHeight="1" s="118">
      <c r="A13" s="44" t="inlineStr">
        <is>
          <t>Arturo</t>
        </is>
      </c>
      <c r="B13" s="45" t="n">
        <v>487</v>
      </c>
      <c r="C13" s="46" t="inlineStr">
        <is>
          <t>ST-199</t>
        </is>
      </c>
      <c r="D13" s="46" t="inlineStr">
        <is>
          <t>Rombos</t>
        </is>
      </c>
      <c r="E13" s="46" t="inlineStr">
        <is>
          <t>AG3</t>
        </is>
      </c>
      <c r="F13" s="56" t="n">
        <v>12</v>
      </c>
      <c r="G13" s="61" t="n">
        <v>3.8</v>
      </c>
      <c r="H13" s="61" t="n"/>
      <c r="I13" s="61" t="n"/>
      <c r="J13" s="61" t="n"/>
      <c r="K13" s="61" t="n"/>
      <c r="L13" s="61" t="n"/>
      <c r="M13" s="61" t="n"/>
      <c r="N13" s="47" t="n"/>
    </row>
    <row r="14" ht="11.25" customFormat="1" customHeight="1" s="118">
      <c r="A14" s="44" t="inlineStr">
        <is>
          <t>Arturo</t>
        </is>
      </c>
      <c r="B14" s="45" t="n">
        <v>487</v>
      </c>
      <c r="C14" s="46" t="inlineStr">
        <is>
          <t>P-341</t>
        </is>
      </c>
      <c r="D14" s="46" t="inlineStr">
        <is>
          <t>Centellas</t>
        </is>
      </c>
      <c r="E14" s="46" t="inlineStr">
        <is>
          <t>AG3</t>
        </is>
      </c>
      <c r="F14" s="56" t="n">
        <v>12</v>
      </c>
      <c r="G14" s="61" t="n"/>
      <c r="H14" s="61" t="n"/>
      <c r="I14" s="61" t="n"/>
      <c r="J14" s="61" t="n">
        <v>6.7</v>
      </c>
      <c r="K14" s="61" t="n"/>
      <c r="L14" s="61" t="n"/>
      <c r="M14" s="61" t="n"/>
      <c r="N14" s="47" t="n"/>
    </row>
    <row r="15" ht="11.25" customFormat="1" customHeight="1" s="118">
      <c r="A15" s="48" t="n"/>
      <c r="B15" s="47" t="n"/>
      <c r="C15" s="46" t="n"/>
      <c r="D15" s="46" t="n"/>
      <c r="E15" s="46" t="n"/>
      <c r="F15" s="56" t="n"/>
      <c r="G15" s="61" t="n"/>
      <c r="H15" s="61" t="n"/>
      <c r="I15" s="61" t="n"/>
      <c r="J15" s="61" t="n"/>
      <c r="K15" s="61" t="n"/>
      <c r="L15" s="61" t="n"/>
      <c r="M15" s="61" t="n"/>
      <c r="N15" s="47" t="n"/>
    </row>
    <row r="16" ht="11.25" customFormat="1" customHeight="1" s="118">
      <c r="A16" s="39" t="inlineStr">
        <is>
          <t>Brian</t>
        </is>
      </c>
      <c r="B16" s="40" t="n">
        <v>776</v>
      </c>
      <c r="C16" s="41" t="inlineStr">
        <is>
          <t>F-019-X</t>
        </is>
      </c>
      <c r="D16" s="41" t="inlineStr">
        <is>
          <t>Aros</t>
        </is>
      </c>
      <c r="E16" s="41" t="inlineStr">
        <is>
          <t>AG3</t>
        </is>
      </c>
      <c r="F16" s="55" t="n">
        <v>14</v>
      </c>
      <c r="G16" s="62" t="n"/>
      <c r="H16" s="62" t="n"/>
      <c r="I16" s="62" t="n"/>
      <c r="J16" s="62" t="n"/>
      <c r="K16" s="62" t="n"/>
      <c r="L16" s="62" t="n"/>
      <c r="M16" s="62" t="n"/>
      <c r="N16" s="42" t="n"/>
    </row>
    <row r="17" ht="11.25" customFormat="1" customHeight="1" s="118">
      <c r="A17" s="39" t="inlineStr">
        <is>
          <t>Brian</t>
        </is>
      </c>
      <c r="B17" s="40" t="n">
        <v>776</v>
      </c>
      <c r="C17" s="41" t="inlineStr">
        <is>
          <t>P-327</t>
        </is>
      </c>
      <c r="D17" s="41" t="inlineStr">
        <is>
          <t>Animales</t>
        </is>
      </c>
      <c r="E17" s="41" t="inlineStr">
        <is>
          <t>AG3</t>
        </is>
      </c>
      <c r="F17" s="55" t="n">
        <v>13</v>
      </c>
      <c r="G17" s="62" t="n"/>
      <c r="H17" s="62" t="n"/>
      <c r="I17" s="62" t="n"/>
      <c r="J17" s="62" t="n"/>
      <c r="K17" s="62" t="n">
        <v>4.8</v>
      </c>
      <c r="L17" s="62" t="n"/>
      <c r="M17" s="62" t="n"/>
      <c r="N17" s="42" t="n"/>
    </row>
    <row r="18" ht="11.25" customFormat="1" customHeight="1" s="118">
      <c r="A18" s="43" t="n"/>
      <c r="B18" s="42" t="n"/>
      <c r="C18" s="41" t="n"/>
      <c r="D18" s="41" t="n"/>
      <c r="E18" s="41" t="n"/>
      <c r="F18" s="55" t="n"/>
      <c r="G18" s="62" t="n"/>
      <c r="H18" s="62" t="n"/>
      <c r="I18" s="62" t="n"/>
      <c r="J18" s="62" t="n"/>
      <c r="K18" s="62" t="n"/>
      <c r="L18" s="62" t="n"/>
      <c r="M18" s="62" t="n"/>
      <c r="N18" s="42" t="n"/>
    </row>
    <row r="19" ht="11.25" customFormat="1" customHeight="1" s="118">
      <c r="A19" s="44" t="inlineStr">
        <is>
          <t>Cristian (815)</t>
        </is>
      </c>
      <c r="B19" s="45" t="n">
        <v>815</v>
      </c>
      <c r="C19" s="46" t="inlineStr">
        <is>
          <t>P-310</t>
        </is>
      </c>
      <c r="D19" s="46" t="inlineStr">
        <is>
          <t>Diamante</t>
        </is>
      </c>
      <c r="E19" s="46" t="inlineStr">
        <is>
          <t>AG3</t>
        </is>
      </c>
      <c r="F19" s="56" t="n">
        <v>12</v>
      </c>
      <c r="G19" s="61" t="n"/>
      <c r="H19" s="61" t="n"/>
      <c r="I19" s="61" t="n"/>
      <c r="J19" s="61" t="n"/>
      <c r="K19" s="61" t="n"/>
      <c r="L19" s="61" t="n"/>
      <c r="M19" s="61" t="n"/>
      <c r="N19" s="47" t="n"/>
    </row>
    <row r="20" ht="11.25" customFormat="1" customHeight="1" s="118">
      <c r="A20" s="44" t="inlineStr">
        <is>
          <t>Cristian (815)</t>
        </is>
      </c>
      <c r="B20" s="45" t="n">
        <v>815</v>
      </c>
      <c r="C20" s="46" t="inlineStr">
        <is>
          <t>P-310</t>
        </is>
      </c>
      <c r="D20" s="46" t="inlineStr">
        <is>
          <t>Diamante</t>
        </is>
      </c>
      <c r="E20" s="46" t="inlineStr">
        <is>
          <t>DOL</t>
        </is>
      </c>
      <c r="F20" s="56" t="n">
        <v>13</v>
      </c>
      <c r="G20" s="61" t="n"/>
      <c r="H20" s="61" t="n"/>
      <c r="I20" s="61" t="n"/>
      <c r="J20" s="61" t="n"/>
      <c r="K20" s="61" t="n"/>
      <c r="L20" s="61" t="n"/>
      <c r="M20" s="61" t="n"/>
      <c r="N20" s="47" t="n"/>
    </row>
    <row r="21" ht="11.25" customFormat="1" customHeight="1" s="118">
      <c r="A21" s="48" t="n"/>
      <c r="B21" s="47" t="n"/>
      <c r="C21" s="46" t="n"/>
      <c r="D21" s="46" t="n"/>
      <c r="E21" s="46" t="n"/>
      <c r="F21" s="56" t="n"/>
      <c r="G21" s="61" t="n"/>
      <c r="H21" s="61" t="n"/>
      <c r="I21" s="61" t="n"/>
      <c r="J21" s="61" t="n"/>
      <c r="K21" s="61" t="n"/>
      <c r="L21" s="61" t="n"/>
      <c r="M21" s="61" t="n"/>
      <c r="N21" s="47" t="n"/>
    </row>
    <row r="22" ht="11.25" customFormat="1" customHeight="1" s="118">
      <c r="A22" s="39" t="inlineStr">
        <is>
          <t>Cristian (832)</t>
        </is>
      </c>
      <c r="B22" s="40" t="n">
        <v>832</v>
      </c>
      <c r="C22" s="41" t="inlineStr">
        <is>
          <t>ST-206</t>
        </is>
      </c>
      <c r="D22" s="41" t="inlineStr">
        <is>
          <t>Centellas</t>
        </is>
      </c>
      <c r="E22" s="41" t="inlineStr">
        <is>
          <t>AG3</t>
        </is>
      </c>
      <c r="F22" s="55" t="n">
        <v>12</v>
      </c>
      <c r="G22" s="62" t="n">
        <v>3.8</v>
      </c>
      <c r="H22" s="62" t="n"/>
      <c r="I22" s="62" t="n">
        <v>4.2</v>
      </c>
      <c r="J22" s="62" t="n">
        <v>6.8</v>
      </c>
      <c r="K22" s="62" t="n"/>
      <c r="L22" s="62" t="n"/>
      <c r="M22" s="62" t="n"/>
      <c r="N22" s="42" t="n"/>
    </row>
    <row r="23" ht="11.25" customFormat="1" customHeight="1" s="118">
      <c r="A23" s="44" t="inlineStr">
        <is>
          <t>Cristian (332)</t>
        </is>
      </c>
      <c r="B23" s="45" t="n">
        <v>332</v>
      </c>
      <c r="C23" s="46" t="inlineStr">
        <is>
          <t>ST-149</t>
        </is>
      </c>
      <c r="D23" s="46" t="inlineStr">
        <is>
          <t>Centella</t>
        </is>
      </c>
      <c r="E23" s="46" t="inlineStr">
        <is>
          <t>AG3</t>
        </is>
      </c>
      <c r="F23" s="56" t="n">
        <v>12</v>
      </c>
      <c r="G23" s="61" t="n">
        <v>3</v>
      </c>
      <c r="H23" s="61" t="n">
        <v>3.7</v>
      </c>
      <c r="I23" s="61" t="n">
        <v>3.2</v>
      </c>
      <c r="J23" s="61" t="n"/>
      <c r="K23" s="61" t="n">
        <v>3</v>
      </c>
      <c r="L23" s="61" t="n"/>
      <c r="M23" s="61" t="n"/>
      <c r="N23" s="47" t="n"/>
    </row>
    <row r="24" ht="11.25" customFormat="1" customHeight="1" s="118">
      <c r="A24" s="48" t="n"/>
      <c r="B24" s="47" t="n"/>
      <c r="C24" s="46" t="n"/>
      <c r="D24" s="46" t="n"/>
      <c r="E24" s="46" t="n"/>
      <c r="F24" s="56" t="n"/>
      <c r="G24" s="61" t="n"/>
      <c r="H24" s="61" t="n"/>
      <c r="I24" s="61" t="n"/>
      <c r="J24" s="61" t="n"/>
      <c r="K24" s="61" t="n"/>
      <c r="L24" s="61" t="n"/>
      <c r="M24" s="61" t="n"/>
      <c r="N24" s="47" t="n"/>
    </row>
    <row r="25" ht="11.25" customFormat="1" customHeight="1" s="118">
      <c r="A25" s="48" t="n"/>
      <c r="B25" s="47" t="n"/>
      <c r="C25" s="46" t="n"/>
      <c r="D25" s="46" t="n"/>
      <c r="E25" s="46" t="n"/>
      <c r="F25" s="56" t="n"/>
      <c r="G25" s="61" t="n"/>
      <c r="H25" s="61" t="n"/>
      <c r="I25" s="61" t="n"/>
      <c r="J25" s="61" t="n"/>
      <c r="K25" s="61" t="n"/>
      <c r="L25" s="61" t="n"/>
      <c r="M25" s="61" t="n"/>
      <c r="N25" s="47" t="n"/>
    </row>
    <row r="26" ht="11.25" customFormat="1" customHeight="1" s="118">
      <c r="A26" s="39" t="inlineStr">
        <is>
          <t>Diego (487)</t>
        </is>
      </c>
      <c r="B26" s="40" t="n">
        <v>487</v>
      </c>
      <c r="C26" s="41" t="inlineStr">
        <is>
          <t>ST-227</t>
        </is>
      </c>
      <c r="D26" s="41" t="inlineStr">
        <is>
          <t>Centella</t>
        </is>
      </c>
      <c r="E26" s="41" t="inlineStr">
        <is>
          <t>AG3</t>
        </is>
      </c>
      <c r="F26" s="55" t="n">
        <v>12</v>
      </c>
      <c r="G26" s="62" t="n">
        <v>8.9</v>
      </c>
      <c r="H26" s="62" t="n"/>
      <c r="I26" s="62" t="n">
        <v>3.6</v>
      </c>
      <c r="J26" s="62" t="n">
        <v>6.9</v>
      </c>
      <c r="K26" s="62" t="n"/>
      <c r="L26" s="62" t="n"/>
      <c r="M26" s="62" t="n"/>
      <c r="N26" s="42" t="n"/>
    </row>
    <row r="27" ht="11.25" customFormat="1" customHeight="1" s="118">
      <c r="A27" s="39" t="inlineStr">
        <is>
          <t>Diego (487)</t>
        </is>
      </c>
      <c r="B27" s="40" t="n">
        <v>487</v>
      </c>
      <c r="C27" s="41" t="inlineStr">
        <is>
          <t>Texana</t>
        </is>
      </c>
      <c r="D27" s="41" t="inlineStr">
        <is>
          <t>Pavo</t>
        </is>
      </c>
      <c r="E27" s="41" t="inlineStr">
        <is>
          <t>DOL</t>
        </is>
      </c>
      <c r="F27" s="55" t="n">
        <v>13</v>
      </c>
      <c r="G27" s="62" t="n"/>
      <c r="H27" s="62" t="n"/>
      <c r="I27" s="62" t="n"/>
      <c r="J27" s="62" t="n"/>
      <c r="K27" s="62" t="n"/>
      <c r="L27" s="62" t="n"/>
      <c r="M27" s="62" t="n"/>
      <c r="N27" s="42" t="n"/>
    </row>
    <row r="28" ht="11.25" customFormat="1" customHeight="1" s="118">
      <c r="A28" s="43" t="n"/>
      <c r="B28" s="42" t="n"/>
      <c r="C28" s="41" t="n"/>
      <c r="D28" s="41" t="n"/>
      <c r="E28" s="41" t="n"/>
      <c r="F28" s="55" t="n"/>
      <c r="G28" s="62" t="n"/>
      <c r="H28" s="62" t="n"/>
      <c r="I28" s="62" t="n"/>
      <c r="J28" s="62" t="n"/>
      <c r="K28" s="62" t="n"/>
      <c r="L28" s="62" t="n"/>
      <c r="M28" s="62" t="n"/>
      <c r="N28" s="42" t="n"/>
    </row>
    <row r="29" ht="11.25" customFormat="1" customHeight="1" s="118">
      <c r="A29" s="44" t="inlineStr">
        <is>
          <t>Diego (552)</t>
        </is>
      </c>
      <c r="B29" s="45" t="n">
        <v>552</v>
      </c>
      <c r="C29" s="46" t="inlineStr">
        <is>
          <t>ST-226</t>
        </is>
      </c>
      <c r="D29" s="46" t="n"/>
      <c r="E29" s="46" t="inlineStr">
        <is>
          <t>AG3</t>
        </is>
      </c>
      <c r="F29" s="56" t="n">
        <v>12</v>
      </c>
      <c r="G29" s="61" t="n"/>
      <c r="H29" s="61" t="n"/>
      <c r="I29" s="61" t="n">
        <v>3.2</v>
      </c>
      <c r="J29" s="61" t="n">
        <v>7.5</v>
      </c>
      <c r="K29" s="61" t="n">
        <v>9.1</v>
      </c>
      <c r="L29" s="61" t="n"/>
      <c r="M29" s="61" t="n"/>
      <c r="N29" s="47" t="n"/>
    </row>
    <row r="30" ht="11.25" customFormat="1" customHeight="1" s="118">
      <c r="A30" s="39" t="inlineStr">
        <is>
          <t>Erick Valerio Quezada</t>
        </is>
      </c>
      <c r="B30" s="40" t="n">
        <v>827</v>
      </c>
      <c r="C30" s="41" t="inlineStr">
        <is>
          <t>ST-229</t>
        </is>
      </c>
      <c r="D30" s="41" t="inlineStr">
        <is>
          <t>Cubos</t>
        </is>
      </c>
      <c r="E30" s="41" t="inlineStr">
        <is>
          <t>AG3</t>
        </is>
      </c>
      <c r="F30" s="55" t="n">
        <v>12</v>
      </c>
      <c r="G30" s="62" t="n">
        <v>8.199999999999999</v>
      </c>
      <c r="H30" s="62" t="n">
        <v>7.1</v>
      </c>
      <c r="I30" s="62" t="n"/>
      <c r="J30" s="62" t="n">
        <v>8.300000000000001</v>
      </c>
      <c r="K30" s="62" t="n">
        <v>6.1</v>
      </c>
      <c r="L30" s="62" t="n"/>
      <c r="M30" s="62" t="n"/>
      <c r="N30" s="42" t="n"/>
    </row>
    <row r="31" ht="11.25" customFormat="1" customHeight="1" s="118">
      <c r="A31" s="43" t="n"/>
      <c r="B31" s="42" t="n"/>
      <c r="C31" s="41" t="n"/>
      <c r="D31" s="41" t="n"/>
      <c r="E31" s="41" t="n"/>
      <c r="F31" s="55" t="n"/>
      <c r="G31" s="62" t="n"/>
      <c r="H31" s="62" t="n"/>
      <c r="I31" s="62" t="n"/>
      <c r="J31" s="62" t="n"/>
      <c r="K31" s="62" t="n"/>
      <c r="L31" s="62" t="n"/>
      <c r="M31" s="62" t="n"/>
      <c r="N31" s="42" t="n"/>
    </row>
    <row r="32" ht="11.25" customFormat="1" customHeight="1" s="118">
      <c r="A32" s="43" t="n"/>
      <c r="B32" s="42" t="n"/>
      <c r="C32" s="41" t="n"/>
      <c r="D32" s="41" t="n"/>
      <c r="E32" s="41" t="n"/>
      <c r="F32" s="55" t="n"/>
      <c r="G32" s="62" t="n"/>
      <c r="H32" s="62" t="n"/>
      <c r="I32" s="62" t="n"/>
      <c r="J32" s="62" t="n"/>
      <c r="K32" s="62" t="n"/>
      <c r="L32" s="62" t="n"/>
      <c r="M32" s="62" t="n"/>
      <c r="N32" s="42" t="n"/>
    </row>
    <row r="33" ht="11.25" customFormat="1" customHeight="1" s="118">
      <c r="A33" s="44" t="inlineStr">
        <is>
          <t>Ernesto Munguía Hernández</t>
        </is>
      </c>
      <c r="B33" s="45" t="n">
        <v>844</v>
      </c>
      <c r="C33" s="46" t="inlineStr">
        <is>
          <t>P-292</t>
        </is>
      </c>
      <c r="D33" s="46" t="inlineStr">
        <is>
          <t>Aros</t>
        </is>
      </c>
      <c r="E33" s="46" t="inlineStr">
        <is>
          <t>AG3</t>
        </is>
      </c>
      <c r="F33" s="56" t="n">
        <v>14</v>
      </c>
      <c r="G33" s="61" t="n"/>
      <c r="H33" s="61" t="n">
        <v>5.3</v>
      </c>
      <c r="I33" s="61" t="n"/>
      <c r="J33" s="61" t="n">
        <v>9.199999999999999</v>
      </c>
      <c r="K33" s="61" t="n">
        <v>3.8</v>
      </c>
      <c r="L33" s="61" t="n"/>
      <c r="M33" s="61" t="n"/>
      <c r="N33" s="47" t="n"/>
    </row>
    <row r="34" ht="11.25" customFormat="1" customHeight="1" s="118">
      <c r="A34" s="39" t="inlineStr">
        <is>
          <t>Esteban Adrián</t>
        </is>
      </c>
      <c r="B34" s="40" t="n">
        <v>487</v>
      </c>
      <c r="C34" s="41" t="inlineStr">
        <is>
          <t>ST-203</t>
        </is>
      </c>
      <c r="D34" s="41" t="inlineStr">
        <is>
          <t>Centella</t>
        </is>
      </c>
      <c r="E34" s="41" t="inlineStr">
        <is>
          <t>AG3</t>
        </is>
      </c>
      <c r="F34" s="55" t="n">
        <v>12</v>
      </c>
      <c r="G34" s="62" t="n">
        <v>3</v>
      </c>
      <c r="H34" s="62" t="n">
        <v>7.3</v>
      </c>
      <c r="I34" s="62" t="n"/>
      <c r="J34" s="62" t="n">
        <v>7.7</v>
      </c>
      <c r="K34" s="62" t="n">
        <v>2.4</v>
      </c>
      <c r="L34" s="62" t="n"/>
      <c r="M34" s="62" t="n"/>
      <c r="N34" s="42" t="n"/>
    </row>
    <row r="35" ht="11.25" customFormat="1" customHeight="1" s="118">
      <c r="A35" s="43" t="n"/>
      <c r="B35" s="42" t="n"/>
      <c r="C35" s="41" t="n"/>
      <c r="D35" s="41" t="n"/>
      <c r="E35" s="41" t="n"/>
      <c r="F35" s="55" t="n"/>
      <c r="G35" s="62" t="n"/>
      <c r="H35" s="62" t="n"/>
      <c r="I35" s="62" t="n"/>
      <c r="J35" s="62" t="n"/>
      <c r="K35" s="62" t="n"/>
      <c r="L35" s="62" t="n"/>
      <c r="M35" s="62" t="n"/>
      <c r="N35" s="42" t="n"/>
    </row>
    <row r="36" ht="11.25" customFormat="1" customHeight="1" s="118">
      <c r="A36" s="43" t="n"/>
      <c r="B36" s="42" t="n"/>
      <c r="C36" s="41" t="n"/>
      <c r="D36" s="41" t="n"/>
      <c r="E36" s="41" t="n"/>
      <c r="F36" s="55" t="n"/>
      <c r="G36" s="62" t="n"/>
      <c r="H36" s="62" t="n"/>
      <c r="I36" s="62" t="n"/>
      <c r="J36" s="62" t="n"/>
      <c r="K36" s="62" t="n"/>
      <c r="L36" s="62" t="n"/>
      <c r="M36" s="62" t="n"/>
      <c r="N36" s="42" t="n"/>
    </row>
    <row r="37" ht="11.25" customFormat="1" customHeight="1" s="118">
      <c r="A37" s="44" t="inlineStr">
        <is>
          <t>Felipe Coronado Covarrubias</t>
        </is>
      </c>
      <c r="B37" s="45" t="n">
        <v>571</v>
      </c>
      <c r="C37" s="46" t="inlineStr">
        <is>
          <t>ST-212</t>
        </is>
      </c>
      <c r="D37" s="46" t="inlineStr">
        <is>
          <t>Centella</t>
        </is>
      </c>
      <c r="E37" s="46" t="inlineStr">
        <is>
          <t>AG3</t>
        </is>
      </c>
      <c r="F37" s="56" t="n">
        <v>12</v>
      </c>
      <c r="G37" s="61" t="n">
        <v>3.5</v>
      </c>
      <c r="H37" s="61" t="n">
        <v>8.5</v>
      </c>
      <c r="I37" s="61" t="n">
        <v>2.9</v>
      </c>
      <c r="J37" s="61" t="n">
        <v>8.300000000000001</v>
      </c>
      <c r="K37" s="61" t="n">
        <v>4.2</v>
      </c>
      <c r="L37" s="61" t="n"/>
      <c r="M37" s="61" t="n"/>
      <c r="N37" s="47" t="n"/>
    </row>
    <row r="38" ht="11.25" customFormat="1" customHeight="1" s="118">
      <c r="A38" s="39" t="inlineStr">
        <is>
          <t>Francisco</t>
        </is>
      </c>
      <c r="B38" s="40" t="n">
        <v>1048</v>
      </c>
      <c r="C38" s="41" t="n"/>
      <c r="D38" s="41" t="n"/>
      <c r="E38" s="41" t="n"/>
      <c r="F38" s="55" t="n"/>
      <c r="G38" s="62" t="n"/>
      <c r="H38" s="62" t="n"/>
      <c r="I38" s="62" t="n"/>
      <c r="J38" s="62" t="n"/>
      <c r="K38" s="62" t="n"/>
      <c r="L38" s="62" t="n"/>
      <c r="M38" s="62" t="n"/>
      <c r="N38" s="42" t="n"/>
    </row>
    <row r="39" ht="11.25" customFormat="1" customHeight="1" s="118">
      <c r="A39" s="43" t="n"/>
      <c r="B39" s="42" t="n"/>
      <c r="C39" s="41" t="n"/>
      <c r="D39" s="41" t="n"/>
      <c r="E39" s="41" t="n"/>
      <c r="F39" s="55" t="n"/>
      <c r="G39" s="62" t="n"/>
      <c r="H39" s="62" t="n"/>
      <c r="I39" s="62" t="n"/>
      <c r="J39" s="62" t="n"/>
      <c r="K39" s="62" t="n"/>
      <c r="L39" s="62" t="n"/>
      <c r="M39" s="62" t="n"/>
      <c r="N39" s="42" t="n"/>
    </row>
    <row r="40" ht="11.25" customFormat="1" customHeight="1" s="118">
      <c r="A40" s="43" t="n"/>
      <c r="B40" s="42" t="n"/>
      <c r="C40" s="41" t="n"/>
      <c r="D40" s="41" t="n"/>
      <c r="E40" s="41" t="n"/>
      <c r="F40" s="55" t="n"/>
      <c r="G40" s="62" t="n"/>
      <c r="H40" s="62" t="n"/>
      <c r="I40" s="62" t="n"/>
      <c r="J40" s="62" t="n"/>
      <c r="K40" s="62" t="n"/>
      <c r="L40" s="62" t="n"/>
      <c r="M40" s="62" t="n"/>
      <c r="N40" s="42" t="n"/>
    </row>
    <row r="41" ht="11.25" customFormat="1" customHeight="1" s="118">
      <c r="A41" s="44" t="inlineStr">
        <is>
          <t>Héctor Miranda</t>
        </is>
      </c>
      <c r="B41" s="45" t="n">
        <v>337</v>
      </c>
      <c r="C41" s="46" t="inlineStr">
        <is>
          <t>F-010</t>
        </is>
      </c>
      <c r="D41" s="46" t="inlineStr">
        <is>
          <t>Aros</t>
        </is>
      </c>
      <c r="E41" s="46" t="inlineStr">
        <is>
          <t>AG3</t>
        </is>
      </c>
      <c r="F41" s="56" t="n">
        <v>14</v>
      </c>
      <c r="G41" s="61" t="n"/>
      <c r="H41" s="61" t="n"/>
      <c r="I41" s="61" t="n"/>
      <c r="J41" s="61" t="n"/>
      <c r="K41" s="61" t="n"/>
      <c r="L41" s="61" t="n"/>
      <c r="M41" s="61" t="n"/>
      <c r="N41" s="47" t="n"/>
    </row>
    <row r="42" ht="11.25" customFormat="1" customHeight="1" s="118">
      <c r="A42" s="44" t="inlineStr">
        <is>
          <t>Héctor Miranda</t>
        </is>
      </c>
      <c r="B42" s="45" t="n">
        <v>337</v>
      </c>
      <c r="C42" s="46" t="inlineStr">
        <is>
          <t>F-019-3</t>
        </is>
      </c>
      <c r="D42" s="46" t="inlineStr">
        <is>
          <t>Mil Cruces</t>
        </is>
      </c>
      <c r="E42" s="46" t="inlineStr">
        <is>
          <t>AG3</t>
        </is>
      </c>
      <c r="F42" s="56" t="n">
        <v>16</v>
      </c>
      <c r="G42" s="61" t="n"/>
      <c r="H42" s="61" t="n"/>
      <c r="I42" s="61" t="n"/>
      <c r="J42" s="61" t="n"/>
      <c r="K42" s="61" t="n"/>
      <c r="L42" s="61" t="n"/>
      <c r="M42" s="61" t="n"/>
      <c r="N42" s="47" t="n"/>
    </row>
    <row r="43" ht="11.25" customFormat="1" customHeight="1" s="118">
      <c r="A43" s="48" t="n"/>
      <c r="B43" s="47" t="n"/>
      <c r="C43" s="46" t="n"/>
      <c r="D43" s="46" t="n"/>
      <c r="E43" s="46" t="n"/>
      <c r="F43" s="56" t="n"/>
      <c r="G43" s="61" t="n"/>
      <c r="H43" s="61" t="n"/>
      <c r="I43" s="61" t="n"/>
      <c r="J43" s="61" t="n"/>
      <c r="K43" s="61" t="n"/>
      <c r="L43" s="61" t="n"/>
      <c r="M43" s="61" t="n"/>
      <c r="N43" s="47" t="n"/>
    </row>
    <row r="44" ht="11.25" customFormat="1" customHeight="1" s="118">
      <c r="A44" s="39" t="inlineStr">
        <is>
          <t>Hugo Alejandro</t>
        </is>
      </c>
      <c r="B44" s="40" t="n">
        <v>366</v>
      </c>
      <c r="C44" s="41" t="inlineStr">
        <is>
          <t>F-023-A</t>
        </is>
      </c>
      <c r="D44" s="41" t="inlineStr">
        <is>
          <t>Centellas</t>
        </is>
      </c>
      <c r="E44" s="41" t="inlineStr">
        <is>
          <t>AG3</t>
        </is>
      </c>
      <c r="F44" s="55" t="n">
        <v>12</v>
      </c>
      <c r="G44" s="62" t="n">
        <v>7.8</v>
      </c>
      <c r="H44" s="62" t="n">
        <v>4.6</v>
      </c>
      <c r="I44" s="62" t="n">
        <v>7.3</v>
      </c>
      <c r="J44" s="62" t="n">
        <v>8.9</v>
      </c>
      <c r="K44" s="62" t="n"/>
      <c r="L44" s="62" t="n"/>
      <c r="M44" s="62" t="n"/>
      <c r="N44" s="42" t="n"/>
    </row>
    <row r="45" ht="11.25" customFormat="1" customHeight="1" s="118">
      <c r="A45" s="43" t="n"/>
      <c r="B45" s="42" t="n"/>
      <c r="C45" s="41" t="n"/>
      <c r="D45" s="41" t="n"/>
      <c r="E45" s="41" t="n"/>
      <c r="F45" s="55" t="n"/>
      <c r="G45" s="62" t="n"/>
      <c r="H45" s="62" t="n"/>
      <c r="I45" s="62" t="n"/>
      <c r="J45" s="62" t="n"/>
      <c r="K45" s="62" t="n"/>
      <c r="L45" s="62" t="n"/>
      <c r="M45" s="62" t="n"/>
      <c r="N45" s="42" t="n"/>
    </row>
    <row r="46" ht="11.25" customFormat="1" customHeight="1" s="118">
      <c r="A46" s="43" t="n"/>
      <c r="B46" s="42" t="n"/>
      <c r="C46" s="41" t="n"/>
      <c r="D46" s="41" t="n"/>
      <c r="E46" s="41" t="n"/>
      <c r="F46" s="55" t="n"/>
      <c r="G46" s="62" t="n"/>
      <c r="H46" s="62" t="n"/>
      <c r="I46" s="62" t="n"/>
      <c r="J46" s="62" t="n"/>
      <c r="K46" s="62" t="n"/>
      <c r="L46" s="62" t="n"/>
      <c r="M46" s="62" t="n"/>
      <c r="N46" s="42" t="n"/>
    </row>
    <row r="47" ht="11.25" customFormat="1" customHeight="1" s="118">
      <c r="A47" s="44" t="inlineStr">
        <is>
          <t>Jorge</t>
        </is>
      </c>
      <c r="B47" s="45" t="n">
        <v>867</v>
      </c>
      <c r="C47" s="46" t="inlineStr">
        <is>
          <t>P-309</t>
        </is>
      </c>
      <c r="D47" s="46" t="inlineStr">
        <is>
          <t>Gallo</t>
        </is>
      </c>
      <c r="E47" s="46" t="inlineStr">
        <is>
          <t>AG3</t>
        </is>
      </c>
      <c r="F47" s="56" t="n">
        <v>13</v>
      </c>
      <c r="G47" s="61" t="n">
        <v>3.1</v>
      </c>
      <c r="H47" s="61" t="n">
        <v>4.1</v>
      </c>
      <c r="I47" s="61" t="n"/>
      <c r="J47" s="61" t="n">
        <v>3.7</v>
      </c>
      <c r="K47" s="61" t="n">
        <v>4.4</v>
      </c>
      <c r="L47" s="61" t="n"/>
      <c r="M47" s="61" t="n"/>
      <c r="N47" s="47" t="n"/>
    </row>
    <row r="48" ht="11.25" customFormat="1" customHeight="1" s="118">
      <c r="A48" s="44" t="inlineStr">
        <is>
          <t>Jorge</t>
        </is>
      </c>
      <c r="B48" s="45" t="n">
        <v>867</v>
      </c>
      <c r="C48" s="46" t="inlineStr">
        <is>
          <t>P-309</t>
        </is>
      </c>
      <c r="D48" s="46" t="inlineStr">
        <is>
          <t>Gallo</t>
        </is>
      </c>
      <c r="E48" s="46" t="inlineStr">
        <is>
          <t>DOL</t>
        </is>
      </c>
      <c r="F48" s="56" t="n">
        <v>13</v>
      </c>
      <c r="G48" s="61" t="n"/>
      <c r="H48" s="61" t="n"/>
      <c r="I48" s="61" t="n">
        <v>5.1</v>
      </c>
      <c r="J48" s="61" t="n"/>
      <c r="K48" s="61" t="n"/>
      <c r="L48" s="61" t="n"/>
      <c r="M48" s="61" t="n"/>
      <c r="N48" s="47" t="n"/>
    </row>
    <row r="49" ht="11.25" customFormat="1" customHeight="1" s="118">
      <c r="A49" s="48" t="n"/>
      <c r="B49" s="47" t="n"/>
      <c r="C49" s="46" t="n"/>
      <c r="D49" s="46" t="n"/>
      <c r="E49" s="46" t="n"/>
      <c r="F49" s="56" t="n"/>
      <c r="G49" s="61" t="n"/>
      <c r="H49" s="61" t="n"/>
      <c r="I49" s="61" t="n"/>
      <c r="J49" s="61" t="n"/>
      <c r="K49" s="61" t="n"/>
      <c r="L49" s="61" t="n"/>
      <c r="M49" s="61" t="n"/>
      <c r="N49" s="47" t="n"/>
    </row>
    <row r="50" ht="11.25" customFormat="1" customHeight="1" s="118">
      <c r="A50" s="39" t="inlineStr">
        <is>
          <t>Jorge Alberto</t>
        </is>
      </c>
      <c r="B50" s="40" t="n">
        <v>563</v>
      </c>
      <c r="C50" s="41" t="inlineStr">
        <is>
          <t>F-023-C</t>
        </is>
      </c>
      <c r="D50" s="41" t="n"/>
      <c r="E50" s="41" t="inlineStr">
        <is>
          <t>AG3</t>
        </is>
      </c>
      <c r="F50" s="55" t="n">
        <v>12</v>
      </c>
      <c r="G50" s="62" t="n"/>
      <c r="H50" s="62" t="n">
        <v>5.4</v>
      </c>
      <c r="I50" s="62" t="n">
        <v>9.6</v>
      </c>
      <c r="J50" s="62" t="n">
        <v>4.5</v>
      </c>
      <c r="K50" s="62" t="n">
        <v>4.6</v>
      </c>
      <c r="L50" s="62" t="n"/>
      <c r="M50" s="62" t="n"/>
      <c r="N50" s="42" t="n"/>
    </row>
    <row r="51" ht="11.25" customFormat="1" customHeight="1" s="118">
      <c r="A51" s="43" t="n"/>
      <c r="B51" s="42" t="n"/>
      <c r="C51" s="41" t="n"/>
      <c r="D51" s="41" t="n"/>
      <c r="E51" s="41" t="n"/>
      <c r="F51" s="55" t="n"/>
      <c r="G51" s="62" t="n"/>
      <c r="H51" s="62" t="n"/>
      <c r="I51" s="62" t="n"/>
      <c r="J51" s="62" t="n"/>
      <c r="K51" s="62" t="n"/>
      <c r="L51" s="62" t="n"/>
      <c r="M51" s="62" t="n"/>
      <c r="N51" s="42" t="n"/>
    </row>
    <row r="52" ht="11.25" customFormat="1" customHeight="1" s="118">
      <c r="A52" s="43" t="n"/>
      <c r="B52" s="42" t="n"/>
      <c r="C52" s="41" t="n"/>
      <c r="D52" s="41" t="n"/>
      <c r="E52" s="41" t="n"/>
      <c r="F52" s="55" t="n"/>
      <c r="G52" s="62" t="n"/>
      <c r="H52" s="62" t="n"/>
      <c r="I52" s="62" t="n"/>
      <c r="J52" s="62" t="n"/>
      <c r="K52" s="62" t="n"/>
      <c r="L52" s="62" t="n"/>
      <c r="M52" s="62" t="n"/>
      <c r="N52" s="42" t="n"/>
    </row>
    <row r="53" ht="11.25" customFormat="1" customHeight="1" s="118">
      <c r="A53" s="44" t="inlineStr">
        <is>
          <t>José (572)</t>
        </is>
      </c>
      <c r="B53" s="45" t="n">
        <v>572</v>
      </c>
      <c r="C53" s="46" t="inlineStr">
        <is>
          <t>ST-224</t>
        </is>
      </c>
      <c r="D53" s="46" t="inlineStr">
        <is>
          <t>Secuencia</t>
        </is>
      </c>
      <c r="E53" s="46" t="inlineStr">
        <is>
          <t>AG3</t>
        </is>
      </c>
      <c r="F53" s="56" t="n">
        <v>12</v>
      </c>
      <c r="G53" s="61" t="n">
        <v>11.3</v>
      </c>
      <c r="H53" s="61" t="n">
        <v>7.6</v>
      </c>
      <c r="I53" s="61" t="n">
        <v>3.7</v>
      </c>
      <c r="J53" s="61" t="n">
        <v>10.8</v>
      </c>
      <c r="K53" s="61" t="n">
        <v>8.199999999999999</v>
      </c>
      <c r="L53" s="61" t="n"/>
      <c r="M53" s="61" t="n"/>
      <c r="N53" s="47" t="n"/>
    </row>
    <row r="54" ht="11.25" customFormat="1" customHeight="1" s="118">
      <c r="A54" s="48" t="n"/>
      <c r="B54" s="47" t="n"/>
      <c r="C54" s="46" t="n"/>
      <c r="D54" s="46" t="n"/>
      <c r="E54" s="46" t="n"/>
      <c r="F54" s="56" t="n"/>
      <c r="G54" s="61" t="n"/>
      <c r="H54" s="61" t="n"/>
      <c r="I54" s="61" t="n"/>
      <c r="J54" s="61" t="n"/>
      <c r="K54" s="61" t="n"/>
      <c r="L54" s="61" t="n"/>
      <c r="M54" s="61" t="n"/>
      <c r="N54" s="47" t="n"/>
    </row>
    <row r="55" ht="11.25" customFormat="1" customHeight="1" s="118">
      <c r="A55" s="48" t="n"/>
      <c r="B55" s="47" t="n"/>
      <c r="C55" s="46" t="n"/>
      <c r="D55" s="46" t="n"/>
      <c r="E55" s="46" t="n"/>
      <c r="F55" s="56" t="n"/>
      <c r="G55" s="61" t="n"/>
      <c r="H55" s="61" t="n"/>
      <c r="I55" s="61" t="n"/>
      <c r="J55" s="61" t="n"/>
      <c r="K55" s="61" t="n"/>
      <c r="L55" s="61" t="n"/>
      <c r="M55" s="61" t="n"/>
      <c r="N55" s="47" t="n"/>
    </row>
    <row r="56" ht="11.25" customFormat="1" customHeight="1" s="118">
      <c r="A56" s="39" t="inlineStr">
        <is>
          <t>José de los Santos</t>
        </is>
      </c>
      <c r="B56" s="40" t="n">
        <v>822</v>
      </c>
      <c r="C56" s="41" t="inlineStr">
        <is>
          <t>F-19-9</t>
        </is>
      </c>
      <c r="D56" s="41" t="inlineStr">
        <is>
          <t>Aros</t>
        </is>
      </c>
      <c r="E56" s="41" t="inlineStr">
        <is>
          <t>AG3</t>
        </is>
      </c>
      <c r="F56" s="55" t="n">
        <v>13</v>
      </c>
      <c r="G56" s="62" t="n">
        <v>3.1</v>
      </c>
      <c r="H56" s="62" t="n"/>
      <c r="I56" s="62" t="n"/>
      <c r="J56" s="62" t="n">
        <v>7.7</v>
      </c>
      <c r="K56" s="62" t="n">
        <v>3.7</v>
      </c>
      <c r="L56" s="62" t="n"/>
      <c r="M56" s="62" t="n"/>
      <c r="N56" s="42" t="n"/>
    </row>
    <row r="57" ht="11.25" customFormat="1" customHeight="1" s="118">
      <c r="A57" s="43" t="n"/>
      <c r="B57" s="42" t="n"/>
      <c r="C57" s="41" t="n"/>
      <c r="D57" s="41" t="n"/>
      <c r="E57" s="41" t="n"/>
      <c r="F57" s="55" t="n"/>
      <c r="G57" s="62" t="n"/>
      <c r="H57" s="62" t="n"/>
      <c r="I57" s="62" t="n"/>
      <c r="J57" s="62" t="n"/>
      <c r="K57" s="62" t="n"/>
      <c r="L57" s="62" t="n"/>
      <c r="M57" s="62" t="n"/>
      <c r="N57" s="42" t="n"/>
    </row>
    <row r="58" ht="11.25" customFormat="1" customHeight="1" s="118">
      <c r="A58" s="43" t="n"/>
      <c r="B58" s="42" t="n"/>
      <c r="C58" s="41" t="n"/>
      <c r="D58" s="41" t="n"/>
      <c r="E58" s="41" t="n"/>
      <c r="F58" s="55" t="n"/>
      <c r="G58" s="62" t="n"/>
      <c r="H58" s="62" t="n"/>
      <c r="I58" s="62" t="n"/>
      <c r="J58" s="62" t="n"/>
      <c r="K58" s="62" t="n"/>
      <c r="L58" s="62" t="n"/>
      <c r="M58" s="62" t="n"/>
      <c r="N58" s="42" t="n"/>
    </row>
    <row r="59" ht="11.25" customFormat="1" customHeight="1" s="118">
      <c r="A59" s="44" t="inlineStr">
        <is>
          <t>José Luis Vela</t>
        </is>
      </c>
      <c r="B59" s="45" t="n">
        <v>428</v>
      </c>
      <c r="C59" s="46" t="inlineStr">
        <is>
          <t>P-236</t>
        </is>
      </c>
      <c r="D59" s="46" t="inlineStr">
        <is>
          <t>Mil Cruces</t>
        </is>
      </c>
      <c r="E59" s="46" t="inlineStr">
        <is>
          <t>AG3</t>
        </is>
      </c>
      <c r="F59" s="56" t="n">
        <v>16</v>
      </c>
      <c r="G59" s="61" t="n">
        <v>7.6</v>
      </c>
      <c r="H59" s="61" t="n"/>
      <c r="I59" s="61" t="n">
        <v>3.7</v>
      </c>
      <c r="J59" s="61" t="n">
        <v>2.4</v>
      </c>
      <c r="K59" s="61" t="n"/>
      <c r="L59" s="61" t="n"/>
      <c r="M59" s="61" t="n"/>
      <c r="N59" s="47" t="n"/>
    </row>
    <row r="60" ht="11.25" customFormat="1" customHeight="1" s="118">
      <c r="A60" s="44" t="inlineStr">
        <is>
          <t>José Luis Vela</t>
        </is>
      </c>
      <c r="B60" s="45" t="n">
        <v>428</v>
      </c>
      <c r="C60" s="46" t="inlineStr">
        <is>
          <t>P-338</t>
        </is>
      </c>
      <c r="D60" s="46" t="inlineStr">
        <is>
          <t>Rombos</t>
        </is>
      </c>
      <c r="E60" s="46" t="inlineStr">
        <is>
          <t>AG3</t>
        </is>
      </c>
      <c r="F60" s="56" t="n">
        <v>12</v>
      </c>
      <c r="G60" s="61" t="n"/>
      <c r="H60" s="61" t="n"/>
      <c r="I60" s="61" t="n"/>
      <c r="J60" s="61" t="n"/>
      <c r="K60" s="61" t="n">
        <v>4.7</v>
      </c>
      <c r="L60" s="61" t="n"/>
      <c r="M60" s="61" t="n"/>
      <c r="N60" s="47" t="n"/>
    </row>
    <row r="61" ht="11.25" customFormat="1" customHeight="1" s="118">
      <c r="A61" s="48" t="n"/>
      <c r="B61" s="47" t="n"/>
      <c r="C61" s="46" t="n"/>
      <c r="D61" s="46" t="n"/>
      <c r="E61" s="46" t="n"/>
      <c r="F61" s="56" t="n"/>
      <c r="G61" s="61" t="n"/>
      <c r="H61" s="61" t="n"/>
      <c r="I61" s="61" t="n"/>
      <c r="J61" s="61" t="n"/>
      <c r="K61" s="61" t="n"/>
      <c r="L61" s="61" t="n"/>
      <c r="M61" s="61" t="n"/>
      <c r="N61" s="47" t="n"/>
    </row>
    <row r="62" ht="11.25" customFormat="1" customHeight="1" s="118">
      <c r="A62" s="39" t="inlineStr">
        <is>
          <t>José Martínez</t>
        </is>
      </c>
      <c r="B62" s="40" t="n">
        <v>372</v>
      </c>
      <c r="C62" s="41" t="inlineStr">
        <is>
          <t>ST-228</t>
        </is>
      </c>
      <c r="D62" s="41" t="inlineStr">
        <is>
          <t>Flor Azteca</t>
        </is>
      </c>
      <c r="E62" s="41" t="inlineStr">
        <is>
          <t>AG3</t>
        </is>
      </c>
      <c r="F62" s="55" t="n">
        <v>12</v>
      </c>
      <c r="G62" s="62" t="n">
        <v>12</v>
      </c>
      <c r="H62" s="62" t="n">
        <v>4.5</v>
      </c>
      <c r="I62" s="62" t="n">
        <v>3.8</v>
      </c>
      <c r="J62" s="62" t="n">
        <v>10.6</v>
      </c>
      <c r="K62" s="62" t="n">
        <v>6.3</v>
      </c>
      <c r="L62" s="62" t="n"/>
      <c r="M62" s="62" t="n"/>
      <c r="N62" s="42" t="n"/>
    </row>
    <row r="63" ht="11.25" customFormat="1" customHeight="1" s="118">
      <c r="A63" s="39" t="inlineStr">
        <is>
          <t>José Martínez</t>
        </is>
      </c>
      <c r="B63" s="40" t="n">
        <v>372</v>
      </c>
      <c r="C63" s="41" t="inlineStr">
        <is>
          <t>P-296-A</t>
        </is>
      </c>
      <c r="D63" s="41" t="inlineStr">
        <is>
          <t>Guia</t>
        </is>
      </c>
      <c r="E63" s="41" t="inlineStr">
        <is>
          <t>AG3</t>
        </is>
      </c>
      <c r="F63" s="55" t="n">
        <v>12</v>
      </c>
      <c r="G63" s="62" t="n"/>
      <c r="H63" s="62" t="n"/>
      <c r="I63" s="62" t="n"/>
      <c r="J63" s="62" t="n"/>
      <c r="K63" s="62" t="n"/>
      <c r="L63" s="62" t="n"/>
      <c r="M63" s="62" t="n"/>
      <c r="N63" s="42" t="n"/>
    </row>
    <row r="64" ht="11.25" customFormat="1" customHeight="1" s="118">
      <c r="A64" s="39" t="inlineStr">
        <is>
          <t>José Martínez</t>
        </is>
      </c>
      <c r="B64" s="40" t="n">
        <v>372</v>
      </c>
      <c r="C64" s="41" t="inlineStr">
        <is>
          <t>P-326</t>
        </is>
      </c>
      <c r="D64" s="41" t="inlineStr">
        <is>
          <t>Petatillo</t>
        </is>
      </c>
      <c r="E64" s="41" t="inlineStr">
        <is>
          <t>AG3</t>
        </is>
      </c>
      <c r="F64" s="55" t="n">
        <v>12</v>
      </c>
      <c r="G64" s="62" t="n"/>
      <c r="H64" s="62" t="n"/>
      <c r="I64" s="62" t="n"/>
      <c r="J64" s="62" t="n"/>
      <c r="K64" s="62" t="n"/>
      <c r="L64" s="62" t="n"/>
      <c r="M64" s="62" t="n"/>
      <c r="N64" s="42" t="n"/>
    </row>
    <row r="65" ht="11.25" customFormat="1" customHeight="1" s="118">
      <c r="A65" s="39" t="inlineStr">
        <is>
          <t>José Martínez</t>
        </is>
      </c>
      <c r="B65" s="40" t="n">
        <v>372</v>
      </c>
      <c r="C65" s="41" t="inlineStr">
        <is>
          <t>REP</t>
        </is>
      </c>
      <c r="D65" s="41" t="inlineStr">
        <is>
          <t>Reparación</t>
        </is>
      </c>
      <c r="E65" s="41" t="inlineStr">
        <is>
          <t>AG3</t>
        </is>
      </c>
      <c r="F65" s="55" t="n">
        <v>13</v>
      </c>
      <c r="G65" s="62" t="n"/>
      <c r="H65" s="62" t="n"/>
      <c r="I65" s="62" t="n"/>
      <c r="J65" s="62" t="n"/>
      <c r="K65" s="62" t="n"/>
      <c r="L65" s="62" t="n"/>
      <c r="M65" s="62" t="n"/>
      <c r="N65" s="42" t="n"/>
    </row>
    <row r="66" ht="11.25" customFormat="1" customHeight="1" s="118">
      <c r="A66" s="44" t="inlineStr">
        <is>
          <t>José Omar</t>
        </is>
      </c>
      <c r="B66" s="45" t="n">
        <v>732</v>
      </c>
      <c r="C66" s="46" t="n"/>
      <c r="D66" s="46" t="n"/>
      <c r="E66" s="46" t="n"/>
      <c r="F66" s="56" t="n"/>
      <c r="G66" s="61" t="n"/>
      <c r="H66" s="61" t="n"/>
      <c r="I66" s="61" t="n"/>
      <c r="J66" s="61" t="n"/>
      <c r="K66" s="61" t="n"/>
      <c r="L66" s="61" t="n"/>
      <c r="M66" s="61" t="n"/>
      <c r="N66" s="47" t="n"/>
    </row>
    <row r="67" ht="11.25" customFormat="1" customHeight="1" s="118">
      <c r="A67" s="48" t="n"/>
      <c r="B67" s="47" t="n"/>
      <c r="C67" s="46" t="n"/>
      <c r="D67" s="46" t="n"/>
      <c r="E67" s="46" t="n"/>
      <c r="F67" s="56" t="n"/>
      <c r="G67" s="61" t="n"/>
      <c r="H67" s="61" t="n"/>
      <c r="I67" s="61" t="n"/>
      <c r="J67" s="61" t="n"/>
      <c r="K67" s="61" t="n"/>
      <c r="L67" s="61" t="n"/>
      <c r="M67" s="61" t="n"/>
      <c r="N67" s="47" t="n"/>
    </row>
    <row r="68" ht="11.25" customFormat="1" customHeight="1" s="118">
      <c r="A68" s="48" t="n"/>
      <c r="B68" s="47" t="n"/>
      <c r="C68" s="46" t="n"/>
      <c r="D68" s="46" t="n"/>
      <c r="E68" s="46" t="n"/>
      <c r="F68" s="56" t="n"/>
      <c r="G68" s="61" t="n"/>
      <c r="H68" s="61" t="n"/>
      <c r="I68" s="61" t="n"/>
      <c r="J68" s="61" t="n"/>
      <c r="K68" s="61" t="n"/>
      <c r="L68" s="61" t="n"/>
      <c r="M68" s="61" t="n"/>
      <c r="N68" s="47" t="n"/>
    </row>
    <row r="69" ht="11.25" customFormat="1" customHeight="1" s="118">
      <c r="A69" s="39" t="inlineStr">
        <is>
          <t>Juan (876)</t>
        </is>
      </c>
      <c r="B69" s="40" t="n">
        <v>876</v>
      </c>
      <c r="C69" s="41" t="inlineStr">
        <is>
          <t>P-246</t>
        </is>
      </c>
      <c r="D69" s="41" t="inlineStr">
        <is>
          <t>Aros</t>
        </is>
      </c>
      <c r="E69" s="41" t="inlineStr">
        <is>
          <t>AG3</t>
        </is>
      </c>
      <c r="F69" s="55" t="n">
        <v>14</v>
      </c>
      <c r="G69" s="62" t="n"/>
      <c r="H69" s="62" t="n"/>
      <c r="I69" s="62" t="n">
        <v>4</v>
      </c>
      <c r="J69" s="62" t="n"/>
      <c r="K69" s="62" t="n"/>
      <c r="L69" s="62" t="n"/>
      <c r="M69" s="62" t="n"/>
      <c r="N69" s="42" t="n"/>
    </row>
    <row r="70" ht="11.25" customFormat="1" customHeight="1" s="118">
      <c r="A70" s="39" t="inlineStr">
        <is>
          <t>Juan (876)</t>
        </is>
      </c>
      <c r="B70" s="40" t="n">
        <v>876</v>
      </c>
      <c r="C70" s="41" t="inlineStr">
        <is>
          <t>P-265</t>
        </is>
      </c>
      <c r="D70" s="41" t="inlineStr">
        <is>
          <t>Quimera</t>
        </is>
      </c>
      <c r="E70" s="41" t="inlineStr">
        <is>
          <t>AG3</t>
        </is>
      </c>
      <c r="F70" s="55" t="n">
        <v>16</v>
      </c>
      <c r="G70" s="62" t="n"/>
      <c r="H70" s="62" t="n"/>
      <c r="I70" s="62" t="n"/>
      <c r="J70" s="62" t="n"/>
      <c r="K70" s="62" t="n"/>
      <c r="L70" s="62" t="n"/>
      <c r="M70" s="62" t="n"/>
      <c r="N70" s="42" t="n"/>
    </row>
    <row r="71" ht="11.25" customFormat="1" customHeight="1" s="118">
      <c r="A71" s="39" t="inlineStr">
        <is>
          <t>Juan (876)</t>
        </is>
      </c>
      <c r="B71" s="40" t="n">
        <v>876</v>
      </c>
      <c r="C71" s="41" t="inlineStr">
        <is>
          <t>F-019-Y</t>
        </is>
      </c>
      <c r="D71" s="41" t="n"/>
      <c r="E71" s="41" t="inlineStr">
        <is>
          <t>AG3</t>
        </is>
      </c>
      <c r="F71" s="55" t="n">
        <v>12</v>
      </c>
      <c r="G71" s="62" t="n"/>
      <c r="H71" s="62" t="n"/>
      <c r="I71" s="62" t="n"/>
      <c r="J71" s="62" t="n">
        <v>9.9</v>
      </c>
      <c r="K71" s="62" t="n"/>
      <c r="L71" s="62" t="n"/>
      <c r="M71" s="62" t="n"/>
      <c r="N71" s="42" t="n"/>
    </row>
    <row r="72" ht="11.25" customFormat="1" customHeight="1" s="118">
      <c r="A72" s="44" t="inlineStr">
        <is>
          <t>Juan Diego</t>
        </is>
      </c>
      <c r="B72" s="45" t="n">
        <v>672</v>
      </c>
      <c r="C72" s="46" t="inlineStr">
        <is>
          <t>ST-207</t>
        </is>
      </c>
      <c r="D72" s="46" t="inlineStr">
        <is>
          <t>Rombos</t>
        </is>
      </c>
      <c r="E72" s="46" t="inlineStr">
        <is>
          <t>AG3</t>
        </is>
      </c>
      <c r="F72" s="56" t="n">
        <v>12</v>
      </c>
      <c r="G72" s="61" t="n"/>
      <c r="H72" s="61" t="n">
        <v>7.7</v>
      </c>
      <c r="I72" s="61" t="n"/>
      <c r="J72" s="61" t="n">
        <v>6</v>
      </c>
      <c r="K72" s="61" t="n"/>
      <c r="L72" s="61" t="n"/>
      <c r="M72" s="61" t="n"/>
      <c r="N72" s="47" t="n"/>
    </row>
    <row r="73" ht="11.25" customFormat="1" customHeight="1" s="118">
      <c r="A73" s="44" t="inlineStr">
        <is>
          <t>Juan Diego</t>
        </is>
      </c>
      <c r="B73" s="45" t="n">
        <v>672</v>
      </c>
      <c r="C73" s="46" t="n"/>
      <c r="D73" s="46" t="inlineStr">
        <is>
          <t>H. N.</t>
        </is>
      </c>
      <c r="E73" s="46" t="inlineStr">
        <is>
          <t>AG3</t>
        </is>
      </c>
      <c r="F73" s="56" t="n">
        <v>12</v>
      </c>
      <c r="G73" s="61" t="n"/>
      <c r="H73" s="61" t="n"/>
      <c r="I73" s="61" t="n"/>
      <c r="J73" s="61" t="n"/>
      <c r="K73" s="61" t="n">
        <v>3.7</v>
      </c>
      <c r="L73" s="61" t="n"/>
      <c r="M73" s="61" t="n"/>
      <c r="N73" s="47" t="n"/>
    </row>
    <row r="74" ht="11.25" customFormat="1" customHeight="1" s="118">
      <c r="A74" s="48" t="n"/>
      <c r="B74" s="47" t="n"/>
      <c r="C74" s="46" t="n"/>
      <c r="D74" s="46" t="n"/>
      <c r="E74" s="46" t="n"/>
      <c r="F74" s="56" t="n"/>
      <c r="G74" s="61" t="n"/>
      <c r="H74" s="61" t="n"/>
      <c r="I74" s="61" t="n"/>
      <c r="J74" s="61" t="n"/>
      <c r="K74" s="61" t="n"/>
      <c r="L74" s="61" t="n"/>
      <c r="M74" s="61" t="n"/>
      <c r="N74" s="47" t="n"/>
    </row>
    <row r="75" ht="11.25" customFormat="1" customHeight="1" s="118">
      <c r="A75" s="39" t="inlineStr">
        <is>
          <t>Juan (584)</t>
        </is>
      </c>
      <c r="B75" s="40" t="n">
        <v>584</v>
      </c>
      <c r="C75" s="41" t="n"/>
      <c r="D75" s="41" t="inlineStr">
        <is>
          <t>Calendario</t>
        </is>
      </c>
      <c r="E75" s="41" t="inlineStr">
        <is>
          <t>AG3</t>
        </is>
      </c>
      <c r="F75" s="55" t="n">
        <v>12</v>
      </c>
      <c r="G75" s="62" t="n"/>
      <c r="H75" s="62" t="n"/>
      <c r="I75" s="62" t="n"/>
      <c r="J75" s="62" t="n"/>
      <c r="K75" s="62" t="n">
        <v>8.4</v>
      </c>
      <c r="L75" s="62" t="n"/>
      <c r="M75" s="62" t="n"/>
      <c r="N75" s="42" t="n"/>
    </row>
    <row r="76" ht="11.25" customFormat="1" customHeight="1" s="118">
      <c r="A76" s="39" t="inlineStr">
        <is>
          <t>Juan (584)</t>
        </is>
      </c>
      <c r="B76" s="40" t="n">
        <v>584</v>
      </c>
      <c r="C76" s="41" t="inlineStr">
        <is>
          <t>P-248</t>
        </is>
      </c>
      <c r="D76" s="41" t="inlineStr">
        <is>
          <t>Mil Hojas</t>
        </is>
      </c>
      <c r="E76" s="41" t="inlineStr">
        <is>
          <t>AG3</t>
        </is>
      </c>
      <c r="F76" s="55" t="n">
        <v>16</v>
      </c>
      <c r="G76" s="62" t="n">
        <v>4.5</v>
      </c>
      <c r="H76" s="62" t="n">
        <v>4.7</v>
      </c>
      <c r="I76" s="62" t="n">
        <v>3.8</v>
      </c>
      <c r="J76" s="62" t="n">
        <v>4.5</v>
      </c>
      <c r="K76" s="62" t="n">
        <v>4.5</v>
      </c>
      <c r="L76" s="62" t="n"/>
      <c r="M76" s="62" t="n"/>
      <c r="N76" s="42" t="n"/>
    </row>
    <row r="77" ht="11.25" customFormat="1" customHeight="1" s="118">
      <c r="A77" s="43" t="n"/>
      <c r="B77" s="42" t="n"/>
      <c r="C77" s="41" t="n"/>
      <c r="D77" s="41" t="n"/>
      <c r="E77" s="41" t="n"/>
      <c r="F77" s="55" t="n"/>
      <c r="G77" s="62" t="n"/>
      <c r="H77" s="62" t="n"/>
      <c r="I77" s="62" t="n"/>
      <c r="J77" s="62" t="n"/>
      <c r="K77" s="62" t="n"/>
      <c r="L77" s="62" t="n"/>
      <c r="M77" s="62" t="n"/>
      <c r="N77" s="42" t="n"/>
    </row>
    <row r="78" ht="11.25" customFormat="1" customHeight="1" s="118">
      <c r="A78" s="44" t="inlineStr">
        <is>
          <t>Luis (833)</t>
        </is>
      </c>
      <c r="B78" s="45" t="n">
        <v>833</v>
      </c>
      <c r="C78" s="46" t="inlineStr">
        <is>
          <t>ST-220</t>
        </is>
      </c>
      <c r="D78" s="46" t="inlineStr">
        <is>
          <t>Cadena</t>
        </is>
      </c>
      <c r="E78" s="46" t="inlineStr">
        <is>
          <t>AG3</t>
        </is>
      </c>
      <c r="F78" s="56" t="n">
        <v>12</v>
      </c>
      <c r="G78" s="61" t="n">
        <v>4.6</v>
      </c>
      <c r="H78" s="61" t="n">
        <v>4.1</v>
      </c>
      <c r="I78" s="61" t="n"/>
      <c r="J78" s="61" t="n">
        <v>3.8</v>
      </c>
      <c r="K78" s="61" t="n">
        <v>8.199999999999999</v>
      </c>
      <c r="L78" s="61" t="n"/>
      <c r="M78" s="61" t="n"/>
      <c r="N78" s="47" t="n"/>
    </row>
    <row r="79" ht="11.25" customFormat="1" customHeight="1" s="118">
      <c r="A79" s="39" t="inlineStr">
        <is>
          <t>Manuel Ramírez</t>
        </is>
      </c>
      <c r="B79" s="40" t="n">
        <v>482</v>
      </c>
      <c r="C79" s="41" t="inlineStr">
        <is>
          <t>ST-225</t>
        </is>
      </c>
      <c r="D79" s="41" t="inlineStr">
        <is>
          <t>Secuencia</t>
        </is>
      </c>
      <c r="E79" s="41" t="inlineStr">
        <is>
          <t>AG3</t>
        </is>
      </c>
      <c r="F79" s="55" t="n">
        <v>12</v>
      </c>
      <c r="G79" s="62" t="n"/>
      <c r="H79" s="62" t="n">
        <v>7.5</v>
      </c>
      <c r="I79" s="62" t="n">
        <v>3.9</v>
      </c>
      <c r="J79" s="62" t="n"/>
      <c r="K79" s="62" t="n"/>
      <c r="L79" s="62" t="n"/>
      <c r="M79" s="62" t="n"/>
      <c r="N79" s="42" t="n"/>
    </row>
    <row r="80" ht="11.25" customFormat="1" customHeight="1" s="118">
      <c r="A80" s="39" t="inlineStr">
        <is>
          <t>Manuel Ramírez</t>
        </is>
      </c>
      <c r="B80" s="40" t="n">
        <v>482</v>
      </c>
      <c r="C80" s="41" t="inlineStr">
        <is>
          <t>R-337</t>
        </is>
      </c>
      <c r="D80" s="41" t="inlineStr">
        <is>
          <t>Cartera</t>
        </is>
      </c>
      <c r="E80" s="41" t="inlineStr">
        <is>
          <t>AG3</t>
        </is>
      </c>
      <c r="F80" s="55" t="n">
        <v>12</v>
      </c>
      <c r="G80" s="62" t="n">
        <v>3.9</v>
      </c>
      <c r="H80" s="62" t="n"/>
      <c r="I80" s="62" t="n"/>
      <c r="J80" s="62" t="n"/>
      <c r="K80" s="62" t="n"/>
      <c r="L80" s="62" t="n"/>
      <c r="M80" s="62" t="n"/>
      <c r="N80" s="42" t="n"/>
    </row>
    <row r="81" ht="11.25" customFormat="1" customHeight="1" s="118">
      <c r="A81" s="43" t="n"/>
      <c r="B81" s="42" t="n"/>
      <c r="C81" s="41" t="n"/>
      <c r="D81" s="41" t="n"/>
      <c r="E81" s="41" t="n"/>
      <c r="F81" s="55" t="n"/>
      <c r="G81" s="62" t="n"/>
      <c r="H81" s="62" t="n"/>
      <c r="I81" s="62" t="n"/>
      <c r="J81" s="62" t="n"/>
      <c r="K81" s="62" t="n"/>
      <c r="L81" s="62" t="n"/>
      <c r="M81" s="62" t="n"/>
      <c r="N81" s="42" t="n"/>
    </row>
    <row r="82" ht="11.25" customFormat="1" customHeight="1" s="118">
      <c r="A82" s="44" t="inlineStr">
        <is>
          <t>Martín López</t>
        </is>
      </c>
      <c r="B82" s="45" t="n">
        <v>815</v>
      </c>
      <c r="C82" s="46" t="inlineStr">
        <is>
          <t>ST-209</t>
        </is>
      </c>
      <c r="D82" s="46" t="inlineStr">
        <is>
          <t>Cubos</t>
        </is>
      </c>
      <c r="E82" s="46" t="inlineStr">
        <is>
          <t>AG3</t>
        </is>
      </c>
      <c r="F82" s="56" t="n">
        <v>12</v>
      </c>
      <c r="G82" s="61" t="n">
        <v>7.8</v>
      </c>
      <c r="H82" s="61" t="n"/>
      <c r="I82" s="61" t="n">
        <v>4.7</v>
      </c>
      <c r="J82" s="61" t="n">
        <v>4.5</v>
      </c>
      <c r="K82" s="61" t="n">
        <v>3.7</v>
      </c>
      <c r="L82" s="61" t="n"/>
      <c r="M82" s="61" t="n"/>
      <c r="N82" s="47" t="n"/>
    </row>
    <row r="83" ht="11.25" customFormat="1" customHeight="1" s="118">
      <c r="A83" s="48" t="n"/>
      <c r="B83" s="47" t="n"/>
      <c r="C83" s="46" t="n"/>
      <c r="D83" s="46" t="n"/>
      <c r="E83" s="46" t="n"/>
      <c r="F83" s="56" t="n"/>
      <c r="G83" s="61" t="n"/>
      <c r="H83" s="61" t="n"/>
      <c r="I83" s="61" t="n"/>
      <c r="J83" s="61" t="n"/>
      <c r="K83" s="61" t="n"/>
      <c r="L83" s="61" t="n"/>
      <c r="M83" s="61" t="n"/>
      <c r="N83" s="47" t="n"/>
    </row>
    <row r="84" ht="11.25" customFormat="1" customHeight="1" s="118">
      <c r="A84" s="48" t="n"/>
      <c r="B84" s="47" t="n"/>
      <c r="C84" s="46" t="n"/>
      <c r="D84" s="46" t="n"/>
      <c r="E84" s="46" t="n"/>
      <c r="F84" s="56" t="n"/>
      <c r="G84" s="61" t="n"/>
      <c r="H84" s="61" t="n"/>
      <c r="I84" s="61" t="n"/>
      <c r="J84" s="61" t="n"/>
      <c r="K84" s="61" t="n"/>
      <c r="L84" s="61" t="n"/>
      <c r="M84" s="61" t="n"/>
      <c r="N84" s="47" t="n"/>
    </row>
    <row r="85" ht="11.25" customFormat="1" customHeight="1" s="118">
      <c r="A85" s="39" t="inlineStr">
        <is>
          <t>Octavio González</t>
        </is>
      </c>
      <c r="B85" s="40" t="n">
        <v>888</v>
      </c>
      <c r="C85" s="41" t="n"/>
      <c r="D85" s="41" t="n"/>
      <c r="E85" s="41" t="n"/>
      <c r="F85" s="55" t="n"/>
      <c r="G85" s="62" t="n"/>
      <c r="H85" s="62" t="n"/>
      <c r="I85" s="62" t="n"/>
      <c r="J85" s="62" t="n"/>
      <c r="K85" s="62" t="n"/>
      <c r="L85" s="62" t="n"/>
      <c r="M85" s="62" t="n"/>
      <c r="N85" s="42" t="n"/>
    </row>
    <row r="86" ht="11.25" customFormat="1" customHeight="1" s="118">
      <c r="A86" s="43" t="n"/>
      <c r="B86" s="42" t="n"/>
      <c r="C86" s="41" t="n"/>
      <c r="D86" s="41" t="n"/>
      <c r="E86" s="41" t="n"/>
      <c r="F86" s="55" t="n"/>
      <c r="G86" s="62" t="n"/>
      <c r="H86" s="62" t="n"/>
      <c r="I86" s="62" t="n"/>
      <c r="J86" s="62" t="n"/>
      <c r="K86" s="62" t="n"/>
      <c r="L86" s="62" t="n"/>
      <c r="M86" s="62" t="n"/>
      <c r="N86" s="42" t="n"/>
    </row>
    <row r="87" ht="11.25" customFormat="1" customHeight="1" s="118">
      <c r="A87" s="43" t="n"/>
      <c r="B87" s="42" t="n"/>
      <c r="C87" s="41" t="n"/>
      <c r="D87" s="41" t="n"/>
      <c r="E87" s="41" t="n"/>
      <c r="F87" s="55" t="n"/>
      <c r="G87" s="62" t="n"/>
      <c r="H87" s="62" t="n"/>
      <c r="I87" s="62" t="n"/>
      <c r="J87" s="62" t="n"/>
      <c r="K87" s="62" t="n"/>
      <c r="L87" s="62" t="n"/>
      <c r="M87" s="62" t="n"/>
      <c r="N87" s="42" t="n"/>
    </row>
    <row r="88" ht="11.25" customFormat="1" customHeight="1" s="118">
      <c r="A88" s="44" t="inlineStr">
        <is>
          <t>Pedro Martínez García</t>
        </is>
      </c>
      <c r="B88" s="45" t="n">
        <v>487</v>
      </c>
      <c r="C88" s="46" t="inlineStr">
        <is>
          <t>ST-202</t>
        </is>
      </c>
      <c r="D88" s="46" t="inlineStr">
        <is>
          <t>Secuencia</t>
        </is>
      </c>
      <c r="E88" s="46" t="inlineStr">
        <is>
          <t>AG3</t>
        </is>
      </c>
      <c r="F88" s="56" t="n">
        <v>12</v>
      </c>
      <c r="G88" s="61" t="n"/>
      <c r="H88" s="61" t="n"/>
      <c r="I88" s="61" t="n">
        <v>3.8</v>
      </c>
      <c r="J88" s="61" t="n">
        <v>3.7</v>
      </c>
      <c r="K88" s="61" t="n">
        <v>3.7</v>
      </c>
      <c r="L88" s="61" t="n"/>
      <c r="M88" s="61" t="n"/>
      <c r="N88" s="47" t="n"/>
    </row>
    <row r="89" ht="11.25" customFormat="1" customHeight="1" s="118">
      <c r="A89" s="44" t="inlineStr">
        <is>
          <t>Pedro Martínez García</t>
        </is>
      </c>
      <c r="B89" s="45" t="n">
        <v>487</v>
      </c>
      <c r="C89" s="46" t="inlineStr">
        <is>
          <t>F-019-7</t>
        </is>
      </c>
      <c r="D89" s="46" t="inlineStr">
        <is>
          <t>Centella</t>
        </is>
      </c>
      <c r="E89" s="46" t="inlineStr">
        <is>
          <t>AG3</t>
        </is>
      </c>
      <c r="F89" s="56" t="n">
        <v>12</v>
      </c>
      <c r="G89" s="61" t="n"/>
      <c r="H89" s="61" t="n"/>
      <c r="I89" s="61" t="n"/>
      <c r="J89" s="61" t="n"/>
      <c r="K89" s="61" t="n"/>
      <c r="L89" s="61" t="n"/>
      <c r="M89" s="61" t="n"/>
      <c r="N89" s="47" t="n"/>
    </row>
    <row r="90" ht="11.25" customFormat="1" customHeight="1" s="118">
      <c r="A90" s="48" t="n"/>
      <c r="B90" s="47" t="n"/>
      <c r="C90" s="46" t="n"/>
      <c r="D90" s="46" t="n"/>
      <c r="E90" s="46" t="n"/>
      <c r="F90" s="56" t="n"/>
      <c r="G90" s="61" t="n"/>
      <c r="H90" s="61" t="n"/>
      <c r="I90" s="61" t="n"/>
      <c r="J90" s="61" t="n"/>
      <c r="K90" s="61" t="n"/>
      <c r="L90" s="61" t="n"/>
      <c r="M90" s="61" t="n"/>
      <c r="N90" s="47" t="n"/>
    </row>
    <row r="91" ht="11.25" customFormat="1" customHeight="1" s="118">
      <c r="A91" s="39" t="inlineStr">
        <is>
          <t>Pedro Rivera</t>
        </is>
      </c>
      <c r="B91" s="40" t="n">
        <v>533</v>
      </c>
      <c r="C91" s="41" t="inlineStr">
        <is>
          <t>P-320</t>
        </is>
      </c>
      <c r="D91" s="41" t="inlineStr">
        <is>
          <t>Grecas</t>
        </is>
      </c>
      <c r="E91" s="41" t="inlineStr">
        <is>
          <t>AG3</t>
        </is>
      </c>
      <c r="F91" s="55" t="n">
        <v>12</v>
      </c>
      <c r="G91" s="62" t="n">
        <v>8.4</v>
      </c>
      <c r="H91" s="62" t="n">
        <v>9</v>
      </c>
      <c r="I91" s="62" t="n">
        <v>3.5</v>
      </c>
      <c r="J91" s="62" t="n">
        <v>12.4</v>
      </c>
      <c r="K91" s="62" t="n">
        <v>4.5</v>
      </c>
      <c r="L91" s="62" t="n"/>
      <c r="M91" s="62" t="n"/>
      <c r="N91" s="42" t="n"/>
    </row>
    <row r="92" ht="11.25" customFormat="1" customHeight="1" s="118">
      <c r="A92" s="44" t="inlineStr">
        <is>
          <t>Ricardo</t>
        </is>
      </c>
      <c r="B92" s="45" t="n">
        <v>868</v>
      </c>
      <c r="C92" s="46" t="inlineStr">
        <is>
          <t>REP</t>
        </is>
      </c>
      <c r="D92" s="46" t="inlineStr">
        <is>
          <t>Reparación</t>
        </is>
      </c>
      <c r="E92" s="46" t="inlineStr">
        <is>
          <t>AG3</t>
        </is>
      </c>
      <c r="F92" s="56" t="n">
        <v>13</v>
      </c>
      <c r="G92" s="61" t="n"/>
      <c r="H92" s="61" t="n"/>
      <c r="I92" s="61" t="n"/>
      <c r="J92" s="61" t="n"/>
      <c r="K92" s="61" t="n"/>
      <c r="L92" s="61" t="n"/>
      <c r="M92" s="61" t="n"/>
      <c r="N92" s="47" t="n"/>
    </row>
    <row r="93" ht="11.25" customFormat="1" customHeight="1" s="118">
      <c r="A93" s="44" t="inlineStr">
        <is>
          <t>Ricardo</t>
        </is>
      </c>
      <c r="B93" s="45" t="n">
        <v>868</v>
      </c>
      <c r="C93" s="46" t="inlineStr">
        <is>
          <t>P-302</t>
        </is>
      </c>
      <c r="D93" s="46" t="inlineStr">
        <is>
          <t>Versace</t>
        </is>
      </c>
      <c r="E93" s="46" t="inlineStr">
        <is>
          <t>DOL</t>
        </is>
      </c>
      <c r="F93" s="56" t="n">
        <v>13</v>
      </c>
      <c r="G93" s="61" t="n"/>
      <c r="H93" s="61" t="n"/>
      <c r="I93" s="61" t="n"/>
      <c r="J93" s="61" t="n"/>
      <c r="K93" s="61" t="n"/>
      <c r="L93" s="61" t="n"/>
      <c r="M93" s="61" t="n"/>
      <c r="N93" s="47" t="n"/>
    </row>
    <row r="94" ht="11.25" customFormat="1" customHeight="1" s="118">
      <c r="A94" s="44" t="inlineStr">
        <is>
          <t>Ricardo</t>
        </is>
      </c>
      <c r="B94" s="45" t="n">
        <v>868</v>
      </c>
      <c r="C94" s="46" t="inlineStr">
        <is>
          <t>P-318</t>
        </is>
      </c>
      <c r="D94" s="46" t="inlineStr">
        <is>
          <t>Aros</t>
        </is>
      </c>
      <c r="E94" s="46" t="inlineStr">
        <is>
          <t>AG3</t>
        </is>
      </c>
      <c r="F94" s="56" t="n">
        <v>13</v>
      </c>
      <c r="G94" s="61" t="n"/>
      <c r="H94" s="61" t="n"/>
      <c r="I94" s="61" t="n"/>
      <c r="J94" s="61" t="n"/>
      <c r="K94" s="61" t="n"/>
      <c r="L94" s="61" t="n"/>
      <c r="M94" s="61" t="n"/>
      <c r="N94" s="47" t="n"/>
    </row>
    <row r="95" ht="11.25" customFormat="1" customHeight="1" s="118">
      <c r="A95" s="44" t="inlineStr">
        <is>
          <t>Ricardo</t>
        </is>
      </c>
      <c r="B95" s="45" t="n">
        <v>868</v>
      </c>
      <c r="C95" s="46" t="inlineStr">
        <is>
          <t>P-310</t>
        </is>
      </c>
      <c r="D95" s="46" t="inlineStr">
        <is>
          <t>Diamante</t>
        </is>
      </c>
      <c r="E95" s="46" t="inlineStr">
        <is>
          <t>DOL</t>
        </is>
      </c>
      <c r="F95" s="56" t="n">
        <v>13</v>
      </c>
      <c r="G95" s="61" t="n">
        <v>4.8</v>
      </c>
      <c r="H95" s="61" t="n"/>
      <c r="I95" s="61" t="n">
        <v>9.300000000000001</v>
      </c>
      <c r="J95" s="61" t="n">
        <v>4.9</v>
      </c>
      <c r="K95" s="61" t="n">
        <v>2.5</v>
      </c>
      <c r="L95" s="61" t="n"/>
      <c r="M95" s="61" t="n"/>
      <c r="N95" s="47" t="n"/>
    </row>
    <row r="96" ht="11.25" customFormat="1" customHeight="1" s="118">
      <c r="A96" s="44" t="inlineStr">
        <is>
          <t>Ricardo</t>
        </is>
      </c>
      <c r="B96" s="45" t="n">
        <v>868</v>
      </c>
      <c r="C96" s="46" t="inlineStr">
        <is>
          <t>P-310</t>
        </is>
      </c>
      <c r="D96" s="46" t="inlineStr">
        <is>
          <t>Diamante</t>
        </is>
      </c>
      <c r="E96" s="46" t="inlineStr">
        <is>
          <t>AG3</t>
        </is>
      </c>
      <c r="F96" s="56" t="n">
        <v>12</v>
      </c>
      <c r="G96" s="61" t="n">
        <v>5</v>
      </c>
      <c r="H96" s="61" t="n">
        <v>8.300000000000001</v>
      </c>
      <c r="I96" s="61" t="n"/>
      <c r="J96" s="61" t="n">
        <v>4.1</v>
      </c>
      <c r="K96" s="61" t="n">
        <v>6.8</v>
      </c>
      <c r="L96" s="61" t="n"/>
      <c r="M96" s="61" t="n"/>
      <c r="N96" s="47" t="n"/>
    </row>
    <row r="97" ht="11.25" customFormat="1" customHeight="1" s="118">
      <c r="A97" s="39" t="inlineStr">
        <is>
          <t>Ricardo Tapetillo</t>
        </is>
      </c>
      <c r="B97" s="40" t="n">
        <v>817</v>
      </c>
      <c r="C97" s="41" t="inlineStr">
        <is>
          <t>ST-223</t>
        </is>
      </c>
      <c r="D97" s="41" t="inlineStr">
        <is>
          <t>Rombos</t>
        </is>
      </c>
      <c r="E97" s="41" t="inlineStr">
        <is>
          <t>AG3</t>
        </is>
      </c>
      <c r="F97" s="55" t="n">
        <v>12</v>
      </c>
      <c r="G97" s="62" t="n">
        <v>6.8</v>
      </c>
      <c r="H97" s="62" t="n">
        <v>8.4</v>
      </c>
      <c r="I97" s="62" t="n"/>
      <c r="J97" s="62" t="n">
        <v>4.5</v>
      </c>
      <c r="K97" s="62" t="n">
        <v>3</v>
      </c>
      <c r="L97" s="62" t="n"/>
      <c r="M97" s="62" t="n"/>
      <c r="N97" s="42" t="n"/>
    </row>
    <row r="98" ht="11.25" customFormat="1" customHeight="1" s="118">
      <c r="A98" s="39" t="inlineStr">
        <is>
          <t>Ricardo Tapetillo</t>
        </is>
      </c>
      <c r="B98" s="40" t="n">
        <v>817</v>
      </c>
      <c r="C98" s="41" t="inlineStr">
        <is>
          <t>F-019-H</t>
        </is>
      </c>
      <c r="D98" s="41" t="inlineStr">
        <is>
          <t>Guia</t>
        </is>
      </c>
      <c r="E98" s="41" t="inlineStr">
        <is>
          <t>AG3</t>
        </is>
      </c>
      <c r="F98" s="55" t="n">
        <v>12</v>
      </c>
      <c r="G98" s="62" t="n"/>
      <c r="H98" s="62" t="n"/>
      <c r="I98" s="62" t="n"/>
      <c r="J98" s="62" t="n"/>
      <c r="K98" s="62" t="n"/>
      <c r="L98" s="62" t="n"/>
      <c r="M98" s="62" t="n"/>
      <c r="N98" s="42" t="n"/>
    </row>
    <row r="99" ht="11.25" customFormat="1" customHeight="1" s="118">
      <c r="A99" s="44" t="inlineStr">
        <is>
          <t>Saúl Jaramillo Andrade</t>
        </is>
      </c>
      <c r="B99" s="45" t="n">
        <v>973</v>
      </c>
      <c r="C99" s="46" t="n"/>
      <c r="D99" s="46" t="n"/>
      <c r="E99" s="46" t="n"/>
      <c r="F99" s="56" t="n"/>
      <c r="G99" s="61" t="n"/>
      <c r="H99" s="61" t="n"/>
      <c r="I99" s="61" t="n"/>
      <c r="J99" s="61" t="n"/>
      <c r="K99" s="61" t="n"/>
      <c r="L99" s="61" t="n"/>
      <c r="M99" s="61" t="n"/>
      <c r="N99" s="47" t="n"/>
    </row>
    <row r="100" ht="11.25" customFormat="1" customHeight="1" s="118">
      <c r="A100" s="48" t="n"/>
      <c r="B100" s="47" t="n"/>
      <c r="C100" s="46" t="n"/>
      <c r="D100" s="46" t="n"/>
      <c r="E100" s="46" t="n"/>
      <c r="F100" s="56" t="n"/>
      <c r="G100" s="61" t="n"/>
      <c r="H100" s="61" t="n"/>
      <c r="I100" s="61" t="n"/>
      <c r="J100" s="61" t="n"/>
      <c r="K100" s="61" t="n"/>
      <c r="L100" s="61" t="n"/>
      <c r="M100" s="61" t="n"/>
      <c r="N100" s="47" t="n"/>
    </row>
    <row r="101" ht="11.25" customFormat="1" customHeight="1" s="118">
      <c r="A101" s="48" t="n"/>
      <c r="B101" s="47" t="n"/>
      <c r="C101" s="46" t="n"/>
      <c r="D101" s="46" t="n"/>
      <c r="E101" s="46" t="n"/>
      <c r="F101" s="56" t="n"/>
      <c r="G101" s="61" t="n"/>
      <c r="H101" s="61" t="n"/>
      <c r="I101" s="61" t="n"/>
      <c r="J101" s="61" t="n"/>
      <c r="K101" s="61" t="n"/>
      <c r="L101" s="61" t="n"/>
      <c r="M101" s="61" t="n"/>
      <c r="N101" s="47" t="n"/>
    </row>
    <row r="102" ht="11.25" customFormat="1" customHeight="1" s="118">
      <c r="A102" s="39" t="inlineStr">
        <is>
          <t>Sergio</t>
        </is>
      </c>
      <c r="B102" s="40" t="n">
        <v>832</v>
      </c>
      <c r="C102" s="41" t="inlineStr">
        <is>
          <t>P-334</t>
        </is>
      </c>
      <c r="D102" s="41" t="inlineStr">
        <is>
          <t>Cubos</t>
        </is>
      </c>
      <c r="E102" s="41" t="inlineStr">
        <is>
          <t>AG3</t>
        </is>
      </c>
      <c r="F102" s="55" t="n">
        <v>12</v>
      </c>
      <c r="G102" s="62" t="n">
        <v>17.8</v>
      </c>
      <c r="H102" s="62" t="n">
        <v>3.5</v>
      </c>
      <c r="I102" s="62" t="n">
        <v>3.2</v>
      </c>
      <c r="J102" s="62" t="n">
        <v>7</v>
      </c>
      <c r="K102" s="62" t="n">
        <v>3.8</v>
      </c>
      <c r="L102" s="62" t="n"/>
      <c r="M102" s="62" t="n"/>
      <c r="N102" s="42" t="n"/>
    </row>
    <row r="103" ht="11.25" customFormat="1" customHeight="1" s="118">
      <c r="A103" s="44" t="inlineStr">
        <is>
          <t>Uriel Andrés</t>
        </is>
      </c>
      <c r="B103" s="45" t="n">
        <v>843</v>
      </c>
      <c r="C103" s="46" t="inlineStr">
        <is>
          <t>ST-221</t>
        </is>
      </c>
      <c r="D103" s="46" t="inlineStr">
        <is>
          <t>5Cordones</t>
        </is>
      </c>
      <c r="E103" s="46" t="inlineStr">
        <is>
          <t>AG3</t>
        </is>
      </c>
      <c r="F103" s="56" t="n">
        <v>12</v>
      </c>
      <c r="G103" s="61" t="n">
        <v>3.6</v>
      </c>
      <c r="H103" s="61" t="n">
        <v>8.199999999999999</v>
      </c>
      <c r="I103" s="61" t="n"/>
      <c r="J103" s="61" t="n">
        <v>6.9</v>
      </c>
      <c r="K103" s="61" t="n"/>
      <c r="L103" s="61" t="n"/>
      <c r="M103" s="61" t="n"/>
      <c r="N103" s="47" t="n"/>
    </row>
    <row r="104" ht="11.25" customFormat="1" customHeight="1" s="118">
      <c r="A104" s="48" t="n"/>
      <c r="B104" s="47" t="n"/>
      <c r="C104" s="46" t="n"/>
      <c r="D104" s="46" t="n"/>
      <c r="E104" s="46" t="n"/>
      <c r="F104" s="56" t="n"/>
      <c r="G104" s="61" t="n"/>
      <c r="H104" s="61" t="n"/>
      <c r="I104" s="61" t="n"/>
      <c r="J104" s="61" t="n"/>
      <c r="K104" s="61" t="n"/>
      <c r="L104" s="61" t="n"/>
      <c r="M104" s="61" t="n"/>
      <c r="N104" s="47" t="n"/>
    </row>
    <row r="105" ht="11.25" customFormat="1" customHeight="1" s="118">
      <c r="A105" s="48" t="n"/>
      <c r="B105" s="47" t="n"/>
      <c r="C105" s="46" t="n"/>
      <c r="D105" s="46" t="n"/>
      <c r="E105" s="46" t="n"/>
      <c r="F105" s="56" t="n"/>
      <c r="G105" s="61" t="n"/>
      <c r="H105" s="61" t="n"/>
      <c r="I105" s="61" t="n"/>
      <c r="J105" s="61" t="n"/>
      <c r="K105" s="61" t="n"/>
      <c r="L105" s="61" t="n"/>
      <c r="M105" s="61" t="n"/>
      <c r="N105" s="47" t="n"/>
    </row>
    <row r="106" ht="11.25" customFormat="1" customHeight="1" s="118">
      <c r="A106" s="39" t="inlineStr">
        <is>
          <t>William</t>
        </is>
      </c>
      <c r="B106" s="40" t="n">
        <v>776</v>
      </c>
      <c r="C106" s="41" t="inlineStr">
        <is>
          <t>ST-231</t>
        </is>
      </c>
      <c r="D106" s="41" t="inlineStr">
        <is>
          <t>Centellas</t>
        </is>
      </c>
      <c r="E106" s="41" t="inlineStr">
        <is>
          <t>AG3</t>
        </is>
      </c>
      <c r="F106" s="55" t="n">
        <v>12</v>
      </c>
      <c r="G106" s="62" t="n"/>
      <c r="H106" s="62" t="n"/>
      <c r="I106" s="62" t="n"/>
      <c r="J106" s="62" t="n">
        <v>7.5</v>
      </c>
      <c r="K106" s="62" t="n">
        <v>3.3</v>
      </c>
      <c r="L106" s="62" t="n"/>
      <c r="M106" s="62" t="n"/>
      <c r="N106" s="42" t="n"/>
    </row>
    <row r="107" ht="11.25" customFormat="1" customHeight="1" s="118">
      <c r="A107" s="39" t="inlineStr">
        <is>
          <t>William</t>
        </is>
      </c>
      <c r="B107" s="42" t="n">
        <v>776</v>
      </c>
      <c r="C107" s="41" t="inlineStr">
        <is>
          <t>ST-216</t>
        </is>
      </c>
      <c r="D107" s="41" t="inlineStr">
        <is>
          <t>Centellas</t>
        </is>
      </c>
      <c r="E107" s="41" t="inlineStr">
        <is>
          <t>AG3</t>
        </is>
      </c>
      <c r="F107" s="55" t="n">
        <v>12</v>
      </c>
      <c r="G107" s="62" t="n">
        <v>9.9</v>
      </c>
      <c r="H107" s="62" t="n">
        <v>5.5</v>
      </c>
      <c r="I107" s="62" t="n">
        <v>2</v>
      </c>
      <c r="J107" s="62" t="n"/>
      <c r="K107" s="62" t="n"/>
      <c r="L107" s="62" t="n"/>
      <c r="M107" s="62" t="n"/>
      <c r="N107" s="42" t="n"/>
    </row>
    <row r="108" ht="11.25" customFormat="1" customHeight="1" s="118">
      <c r="A108" s="43" t="n"/>
      <c r="B108" s="42" t="n"/>
      <c r="C108" s="41" t="n"/>
      <c r="D108" s="41" t="n"/>
      <c r="E108" s="41" t="n"/>
      <c r="F108" s="55" t="n"/>
      <c r="G108" s="62" t="n"/>
      <c r="H108" s="62" t="n"/>
      <c r="I108" s="62" t="n"/>
      <c r="J108" s="62" t="n"/>
      <c r="K108" s="62" t="n"/>
      <c r="L108" s="62" t="n"/>
      <c r="M108" s="62" t="n"/>
      <c r="N108" s="42" t="n"/>
    </row>
    <row r="109" ht="11.25" customFormat="1" customHeight="1" s="118">
      <c r="A109" s="44" t="inlineStr">
        <is>
          <t>Mario</t>
        </is>
      </c>
      <c r="B109" s="45" t="n">
        <v>257</v>
      </c>
      <c r="C109" s="46" t="inlineStr">
        <is>
          <t>ST-0576</t>
        </is>
      </c>
      <c r="D109" s="46" t="inlineStr">
        <is>
          <t>Secuencia</t>
        </is>
      </c>
      <c r="E109" s="46" t="inlineStr">
        <is>
          <t>AG3</t>
        </is>
      </c>
      <c r="F109" s="56" t="n">
        <v>12</v>
      </c>
      <c r="G109" s="61" t="n">
        <v>3.7</v>
      </c>
      <c r="H109" s="61" t="n">
        <v>4.7</v>
      </c>
      <c r="I109" s="61" t="n"/>
      <c r="J109" s="61" t="n">
        <v>3.8</v>
      </c>
      <c r="K109" s="61" t="n">
        <v>4.5</v>
      </c>
      <c r="L109" s="61" t="n"/>
      <c r="M109" s="61" t="n"/>
      <c r="N109" s="47" t="n"/>
    </row>
    <row r="110" ht="11.25" customFormat="1" customHeight="1" s="118">
      <c r="A110" s="48" t="n"/>
      <c r="B110" s="47" t="n"/>
      <c r="C110" s="46" t="n"/>
      <c r="D110" s="46" t="n"/>
      <c r="E110" s="46" t="n"/>
      <c r="F110" s="56" t="n"/>
      <c r="G110" s="61" t="n"/>
      <c r="H110" s="61" t="n"/>
      <c r="I110" s="61" t="n"/>
      <c r="J110" s="61" t="n"/>
      <c r="K110" s="61" t="n"/>
      <c r="L110" s="61" t="n"/>
      <c r="M110" s="61" t="n"/>
      <c r="N110" s="47" t="n"/>
    </row>
    <row r="111" ht="11.25" customFormat="1" customHeight="1" s="118">
      <c r="A111" s="48" t="n"/>
      <c r="B111" s="47" t="n"/>
      <c r="C111" s="46" t="n"/>
      <c r="D111" s="46" t="n"/>
      <c r="E111" s="46" t="n"/>
      <c r="F111" s="56" t="n"/>
      <c r="G111" s="61" t="n"/>
      <c r="H111" s="61" t="n"/>
      <c r="I111" s="61" t="n"/>
      <c r="J111" s="61" t="n"/>
      <c r="K111" s="61" t="n"/>
      <c r="L111" s="61" t="n"/>
      <c r="M111" s="61" t="n"/>
      <c r="N111" s="47" t="n"/>
    </row>
    <row r="112" ht="11.25" customFormat="1" customHeight="1" s="118">
      <c r="A112" s="39" t="inlineStr">
        <is>
          <t>Luis Armando Galicia Toralex</t>
        </is>
      </c>
      <c r="B112" s="40" t="n">
        <v>336</v>
      </c>
      <c r="C112" s="41" t="n"/>
      <c r="D112" s="41" t="n"/>
      <c r="E112" s="41" t="n"/>
      <c r="F112" s="55" t="n"/>
      <c r="G112" s="62" t="n"/>
      <c r="H112" s="62" t="n"/>
      <c r="I112" s="62" t="n"/>
      <c r="J112" s="62" t="n"/>
      <c r="K112" s="62" t="n"/>
      <c r="L112" s="62" t="n"/>
      <c r="M112" s="62" t="n"/>
      <c r="N112" s="42" t="n"/>
    </row>
    <row r="113" ht="11.25" customFormat="1" customHeight="1" s="118">
      <c r="A113" s="43" t="n"/>
      <c r="B113" s="42" t="n"/>
      <c r="C113" s="41" t="n"/>
      <c r="D113" s="41" t="n"/>
      <c r="E113" s="41" t="n"/>
      <c r="F113" s="55" t="n"/>
      <c r="G113" s="62" t="n"/>
      <c r="H113" s="62" t="n"/>
      <c r="I113" s="62" t="n"/>
      <c r="J113" s="62" t="n"/>
      <c r="K113" s="62" t="n"/>
      <c r="L113" s="62" t="n"/>
      <c r="M113" s="62" t="n"/>
      <c r="N113" s="42" t="n"/>
    </row>
    <row r="114" ht="11.25" customFormat="1" customHeight="1" s="118">
      <c r="A114" s="43" t="n"/>
      <c r="B114" s="42" t="n"/>
      <c r="C114" s="41" t="n"/>
      <c r="D114" s="41" t="n"/>
      <c r="E114" s="41" t="n"/>
      <c r="F114" s="55" t="n"/>
      <c r="G114" s="62" t="n"/>
      <c r="H114" s="62" t="n"/>
      <c r="I114" s="62" t="n"/>
      <c r="J114" s="62" t="n"/>
      <c r="K114" s="62" t="n"/>
      <c r="L114" s="62" t="n"/>
      <c r="M114" s="62" t="n"/>
      <c r="N114" s="42" t="n"/>
    </row>
    <row r="115" ht="11.25" customFormat="1" customHeight="1" s="118">
      <c r="A115" s="44" t="inlineStr">
        <is>
          <t>Eduardo Siordia</t>
        </is>
      </c>
      <c r="B115" s="45" t="n">
        <v>337</v>
      </c>
      <c r="C115" s="46" t="inlineStr">
        <is>
          <t>ST-222</t>
        </is>
      </c>
      <c r="D115" s="46" t="inlineStr">
        <is>
          <t>Centellas</t>
        </is>
      </c>
      <c r="E115" s="46" t="inlineStr">
        <is>
          <t>AG3</t>
        </is>
      </c>
      <c r="F115" s="56" t="n">
        <v>12</v>
      </c>
      <c r="G115" s="61" t="n">
        <v>9.800000000000001</v>
      </c>
      <c r="H115" s="61" t="n">
        <v>4.5</v>
      </c>
      <c r="I115" s="61" t="n"/>
      <c r="J115" s="61" t="n">
        <v>9</v>
      </c>
      <c r="K115" s="61" t="n"/>
      <c r="L115" s="61" t="n"/>
      <c r="M115" s="61" t="n"/>
      <c r="N115" s="47" t="n"/>
    </row>
    <row r="116" ht="11.25" customFormat="1" customHeight="1" s="118">
      <c r="A116" s="48" t="n"/>
      <c r="B116" s="47" t="n"/>
      <c r="C116" s="46" t="n"/>
      <c r="D116" s="46" t="n"/>
      <c r="E116" s="46" t="n"/>
      <c r="F116" s="56" t="n"/>
      <c r="G116" s="61" t="n"/>
      <c r="H116" s="61" t="n"/>
      <c r="I116" s="61" t="n"/>
      <c r="J116" s="61" t="n"/>
      <c r="K116" s="61" t="n"/>
      <c r="L116" s="61" t="n"/>
      <c r="M116" s="61" t="n"/>
      <c r="N116" s="47" t="n"/>
    </row>
    <row r="117" ht="11.25" customFormat="1" customHeight="1" s="118">
      <c r="A117" s="48" t="n"/>
      <c r="B117" s="47" t="n"/>
      <c r="C117" s="46" t="n"/>
      <c r="D117" s="46" t="n"/>
      <c r="E117" s="46" t="n"/>
      <c r="F117" s="56" t="n"/>
      <c r="G117" s="61" t="n"/>
      <c r="H117" s="61" t="n"/>
      <c r="I117" s="61" t="n"/>
      <c r="J117" s="61" t="n"/>
      <c r="K117" s="61" t="n"/>
      <c r="L117" s="61" t="n"/>
      <c r="M117" s="61" t="n"/>
      <c r="N117" s="47" t="n"/>
    </row>
    <row r="118" ht="11.25" customFormat="1" customHeight="1" s="118">
      <c r="A118" s="39" t="inlineStr">
        <is>
          <t>Everardo Muñoz</t>
        </is>
      </c>
      <c r="B118" s="40" t="n">
        <v>344</v>
      </c>
      <c r="C118" s="41" t="inlineStr">
        <is>
          <t>F-19-S</t>
        </is>
      </c>
      <c r="D118" s="41" t="inlineStr">
        <is>
          <t>Infinito</t>
        </is>
      </c>
      <c r="E118" s="41" t="inlineStr">
        <is>
          <t>AG3</t>
        </is>
      </c>
      <c r="F118" s="55" t="n">
        <v>12</v>
      </c>
      <c r="G118" s="62" t="n"/>
      <c r="H118" s="62" t="n"/>
      <c r="I118" s="62" t="n"/>
      <c r="J118" s="62" t="n"/>
      <c r="K118" s="62" t="n"/>
      <c r="L118" s="62" t="n"/>
      <c r="M118" s="62" t="n"/>
      <c r="N118" s="42" t="n"/>
    </row>
    <row r="119" ht="11.25" customFormat="1" customHeight="1" s="118">
      <c r="A119" s="39" t="inlineStr">
        <is>
          <t>Everardo Muñoz</t>
        </is>
      </c>
      <c r="B119" s="40" t="n">
        <v>344</v>
      </c>
      <c r="C119" s="41" t="inlineStr">
        <is>
          <t>P-332</t>
        </is>
      </c>
      <c r="D119" s="41" t="inlineStr">
        <is>
          <t>Cadena</t>
        </is>
      </c>
      <c r="E119" s="41" t="inlineStr">
        <is>
          <t>AG3</t>
        </is>
      </c>
      <c r="F119" s="55" t="n">
        <v>12</v>
      </c>
      <c r="G119" s="62" t="n"/>
      <c r="H119" s="62" t="n">
        <v>4.1</v>
      </c>
      <c r="I119" s="62" t="n">
        <v>7.2</v>
      </c>
      <c r="J119" s="62" t="n">
        <v>7.3</v>
      </c>
      <c r="K119" s="62" t="n"/>
      <c r="L119" s="62" t="n"/>
      <c r="M119" s="62" t="n"/>
      <c r="N119" s="42" t="n"/>
    </row>
    <row r="120" ht="11.25" customFormat="1" customHeight="1" s="118">
      <c r="A120" s="43" t="n"/>
      <c r="B120" s="42" t="n"/>
      <c r="C120" s="41" t="n"/>
      <c r="D120" s="41" t="n"/>
      <c r="E120" s="41" t="n"/>
      <c r="F120" s="55" t="n"/>
      <c r="G120" s="62" t="n"/>
      <c r="H120" s="62" t="n"/>
      <c r="I120" s="62" t="n"/>
      <c r="J120" s="62" t="n"/>
      <c r="K120" s="62" t="n"/>
      <c r="L120" s="62" t="n"/>
      <c r="M120" s="62" t="n"/>
      <c r="N120" s="42" t="n"/>
    </row>
    <row r="121" ht="11.25" customFormat="1" customHeight="1" s="118">
      <c r="A121" s="44" t="inlineStr">
        <is>
          <t>Óscar Carranza</t>
        </is>
      </c>
      <c r="B121" s="45" t="n">
        <v>353</v>
      </c>
      <c r="C121" s="46" t="inlineStr">
        <is>
          <t>P-333</t>
        </is>
      </c>
      <c r="D121" s="46" t="inlineStr">
        <is>
          <t>Mil Hojas</t>
        </is>
      </c>
      <c r="E121" s="46" t="inlineStr">
        <is>
          <t>AG3</t>
        </is>
      </c>
      <c r="F121" s="56" t="n">
        <v>16</v>
      </c>
      <c r="G121" s="61" t="n">
        <v>4.5</v>
      </c>
      <c r="H121" s="61" t="n">
        <v>4.4</v>
      </c>
      <c r="I121" s="61" t="n">
        <v>4.6</v>
      </c>
      <c r="J121" s="61" t="n">
        <v>4.6</v>
      </c>
      <c r="K121" s="61" t="n">
        <v>3</v>
      </c>
      <c r="L121" s="61" t="n"/>
      <c r="M121" s="61" t="n"/>
      <c r="N121" s="47" t="n"/>
    </row>
    <row r="122" ht="11.25" customFormat="1" customHeight="1" s="118">
      <c r="A122" s="48" t="n"/>
      <c r="B122" s="47" t="n"/>
      <c r="C122" s="46" t="n"/>
      <c r="D122" s="46" t="n"/>
      <c r="E122" s="46" t="n"/>
      <c r="F122" s="56" t="n"/>
      <c r="G122" s="61" t="n"/>
      <c r="H122" s="61" t="n"/>
      <c r="I122" s="61" t="n"/>
      <c r="J122" s="61" t="n"/>
      <c r="K122" s="61" t="n"/>
      <c r="L122" s="61" t="n"/>
      <c r="M122" s="61" t="n"/>
      <c r="N122" s="47" t="n"/>
    </row>
    <row r="123" ht="11.25" customFormat="1" customHeight="1" s="118">
      <c r="A123" s="48" t="n"/>
      <c r="B123" s="47" t="n"/>
      <c r="C123" s="46" t="n"/>
      <c r="D123" s="46" t="n"/>
      <c r="E123" s="46" t="n"/>
      <c r="F123" s="56" t="n"/>
      <c r="G123" s="61" t="n"/>
      <c r="H123" s="61" t="n"/>
      <c r="I123" s="61" t="n"/>
      <c r="J123" s="61" t="n"/>
      <c r="K123" s="61" t="n"/>
      <c r="L123" s="61" t="n"/>
      <c r="M123" s="61" t="n"/>
      <c r="N123" s="47" t="n"/>
    </row>
    <row r="124" ht="11.25" customFormat="1" customHeight="1" s="118">
      <c r="A124" s="39" t="inlineStr">
        <is>
          <t>Hugo Noé</t>
        </is>
      </c>
      <c r="B124" s="40" t="n">
        <v>355</v>
      </c>
      <c r="C124" s="41" t="inlineStr">
        <is>
          <t>P-261</t>
        </is>
      </c>
      <c r="D124" s="41" t="inlineStr">
        <is>
          <t>Metralleta</t>
        </is>
      </c>
      <c r="E124" s="41" t="inlineStr">
        <is>
          <t>AG3</t>
        </is>
      </c>
      <c r="F124" s="55" t="n">
        <v>12</v>
      </c>
      <c r="G124" s="62" t="n"/>
      <c r="H124" s="62" t="n">
        <v>5.3</v>
      </c>
      <c r="I124" s="62" t="n"/>
      <c r="J124" s="62" t="n">
        <v>8.4</v>
      </c>
      <c r="K124" s="62" t="n"/>
      <c r="L124" s="62" t="n"/>
      <c r="M124" s="62" t="n"/>
      <c r="N124" s="42" t="n"/>
    </row>
    <row r="125" ht="11.25" customFormat="1" customHeight="1" s="118">
      <c r="A125" s="43" t="n"/>
      <c r="B125" s="42" t="n"/>
      <c r="C125" s="41" t="n"/>
      <c r="D125" s="41" t="n"/>
      <c r="E125" s="41" t="n"/>
      <c r="F125" s="55" t="n"/>
      <c r="G125" s="62" t="n"/>
      <c r="H125" s="62" t="n"/>
      <c r="I125" s="62" t="n"/>
      <c r="J125" s="62" t="n"/>
      <c r="K125" s="62" t="n"/>
      <c r="L125" s="62" t="n"/>
      <c r="M125" s="62" t="n"/>
      <c r="N125" s="42" t="n"/>
    </row>
    <row r="126" ht="11.25" customFormat="1" customHeight="1" s="118">
      <c r="A126" s="43" t="n"/>
      <c r="B126" s="42" t="n"/>
      <c r="C126" s="41" t="n"/>
      <c r="D126" s="41" t="n"/>
      <c r="E126" s="41" t="n"/>
      <c r="F126" s="55" t="n"/>
      <c r="G126" s="62" t="n"/>
      <c r="H126" s="62" t="n"/>
      <c r="I126" s="62" t="n"/>
      <c r="J126" s="62" t="n"/>
      <c r="K126" s="62" t="n"/>
      <c r="L126" s="62" t="n"/>
      <c r="M126" s="62" t="n"/>
      <c r="N126" s="42" t="n"/>
    </row>
    <row r="127" ht="11.25" customFormat="1" customHeight="1" s="118">
      <c r="A127" s="44" t="inlineStr">
        <is>
          <t>Hugo (355)</t>
        </is>
      </c>
      <c r="B127" s="45" t="n">
        <v>355</v>
      </c>
      <c r="C127" s="46" t="n"/>
      <c r="D127" s="46" t="n"/>
      <c r="E127" s="46" t="n"/>
      <c r="F127" s="56" t="n"/>
      <c r="G127" s="61" t="n"/>
      <c r="H127" s="61" t="n"/>
      <c r="I127" s="61" t="n"/>
      <c r="J127" s="61" t="n"/>
      <c r="K127" s="61" t="n"/>
      <c r="L127" s="61" t="n"/>
      <c r="M127" s="61" t="n"/>
      <c r="N127" s="47" t="n"/>
    </row>
    <row r="128" ht="11.25" customFormat="1" customHeight="1" s="118">
      <c r="A128" s="48" t="n"/>
      <c r="B128" s="47" t="n"/>
      <c r="C128" s="46" t="n"/>
      <c r="D128" s="46" t="n"/>
      <c r="E128" s="46" t="n"/>
      <c r="F128" s="56" t="n"/>
      <c r="G128" s="61" t="n"/>
      <c r="H128" s="61" t="n"/>
      <c r="I128" s="61" t="n"/>
      <c r="J128" s="61" t="n"/>
      <c r="K128" s="61" t="n"/>
      <c r="L128" s="61" t="n"/>
      <c r="M128" s="61" t="n"/>
      <c r="N128" s="47" t="n"/>
    </row>
    <row r="129" ht="11.25" customFormat="1" customHeight="1" s="118">
      <c r="A129" s="48" t="n"/>
      <c r="B129" s="47" t="n"/>
      <c r="C129" s="46" t="n"/>
      <c r="D129" s="46" t="n"/>
      <c r="E129" s="46" t="n"/>
      <c r="F129" s="56" t="n"/>
      <c r="G129" s="61" t="n"/>
      <c r="H129" s="61" t="n"/>
      <c r="I129" s="61" t="n"/>
      <c r="J129" s="61" t="n"/>
      <c r="K129" s="61" t="n"/>
      <c r="L129" s="61" t="n"/>
      <c r="M129" s="61" t="n"/>
      <c r="N129" s="47" t="n"/>
    </row>
    <row r="130" ht="11.25" customFormat="1" customHeight="1" s="118">
      <c r="A130" s="39" t="inlineStr">
        <is>
          <t>Antonio</t>
        </is>
      </c>
      <c r="B130" s="40" t="n">
        <v>372</v>
      </c>
      <c r="C130" s="41" t="inlineStr">
        <is>
          <t>ST-208</t>
        </is>
      </c>
      <c r="D130" s="41" t="inlineStr">
        <is>
          <t>Centellas</t>
        </is>
      </c>
      <c r="E130" s="41" t="inlineStr">
        <is>
          <t>AG3</t>
        </is>
      </c>
      <c r="F130" s="55" t="n">
        <v>12</v>
      </c>
      <c r="G130" s="62" t="n"/>
      <c r="H130" s="62" t="n"/>
      <c r="I130" s="62" t="n"/>
      <c r="J130" s="62" t="n">
        <v>3</v>
      </c>
      <c r="K130" s="62" t="n">
        <v>3.5</v>
      </c>
      <c r="L130" s="62" t="n"/>
      <c r="M130" s="62" t="n"/>
      <c r="N130" s="42" t="n"/>
    </row>
    <row r="131" ht="11.25" customFormat="1" customHeight="1" s="118">
      <c r="A131" s="43" t="n"/>
      <c r="B131" s="42" t="n"/>
      <c r="C131" s="41" t="n"/>
      <c r="D131" s="41" t="n"/>
      <c r="E131" s="41" t="n"/>
      <c r="F131" s="55" t="n"/>
      <c r="G131" s="62" t="n"/>
      <c r="H131" s="62" t="n"/>
      <c r="I131" s="62" t="n"/>
      <c r="J131" s="62" t="n"/>
      <c r="K131" s="62" t="n"/>
      <c r="L131" s="62" t="n"/>
      <c r="M131" s="62" t="n"/>
      <c r="N131" s="42" t="n"/>
    </row>
    <row r="132" ht="11.25" customFormat="1" customHeight="1" s="118">
      <c r="A132" s="43" t="n"/>
      <c r="B132" s="42" t="n"/>
      <c r="C132" s="41" t="n"/>
      <c r="D132" s="41" t="n"/>
      <c r="E132" s="41" t="n"/>
      <c r="F132" s="55" t="n"/>
      <c r="G132" s="62" t="n"/>
      <c r="H132" s="62" t="n"/>
      <c r="I132" s="62" t="n"/>
      <c r="J132" s="62" t="n"/>
      <c r="K132" s="62" t="n"/>
      <c r="L132" s="62" t="n"/>
      <c r="M132" s="62" t="n"/>
      <c r="N132" s="42" t="n"/>
    </row>
    <row r="133" ht="11.25" customFormat="1" customHeight="1" s="118">
      <c r="A133" s="44" t="inlineStr">
        <is>
          <t>Edgar</t>
        </is>
      </c>
      <c r="B133" s="45" t="n">
        <v>381</v>
      </c>
      <c r="C133" s="46" t="inlineStr">
        <is>
          <t>ST-213</t>
        </is>
      </c>
      <c r="D133" s="46" t="inlineStr">
        <is>
          <t>Secuencia</t>
        </is>
      </c>
      <c r="E133" s="46" t="inlineStr">
        <is>
          <t>AG3</t>
        </is>
      </c>
      <c r="F133" s="56" t="n">
        <v>12</v>
      </c>
      <c r="G133" s="61" t="n">
        <v>8.800000000000001</v>
      </c>
      <c r="H133" s="61" t="n">
        <v>1.7</v>
      </c>
      <c r="I133" s="61" t="n"/>
      <c r="J133" s="61" t="n">
        <v>4.6</v>
      </c>
      <c r="K133" s="61" t="n">
        <v>8</v>
      </c>
      <c r="L133" s="61" t="n"/>
      <c r="M133" s="61" t="n"/>
      <c r="N133" s="47" t="n"/>
    </row>
    <row r="134" ht="11.25" customFormat="1" customHeight="1" s="118">
      <c r="A134" s="44" t="inlineStr">
        <is>
          <t>Edgar</t>
        </is>
      </c>
      <c r="B134" s="45" t="n">
        <v>381</v>
      </c>
      <c r="C134" s="46" t="inlineStr">
        <is>
          <t>P-339</t>
        </is>
      </c>
      <c r="D134" s="46" t="inlineStr">
        <is>
          <t>Rambo IV</t>
        </is>
      </c>
      <c r="E134" s="46" t="inlineStr">
        <is>
          <t>AG3</t>
        </is>
      </c>
      <c r="F134" s="56" t="n">
        <v>12</v>
      </c>
      <c r="G134" s="61" t="n"/>
      <c r="H134" s="61" t="n">
        <v>4.2</v>
      </c>
      <c r="I134" s="61" t="n"/>
      <c r="J134" s="61" t="n"/>
      <c r="K134" s="61" t="n"/>
      <c r="L134" s="61" t="n"/>
      <c r="M134" s="61" t="n"/>
      <c r="N134" s="47" t="n"/>
    </row>
    <row r="135" ht="11.25" customFormat="1" customHeight="1" s="118">
      <c r="A135" s="48" t="n"/>
      <c r="B135" s="47" t="n"/>
      <c r="C135" s="46" t="n"/>
      <c r="D135" s="46" t="n"/>
      <c r="E135" s="46" t="n"/>
      <c r="F135" s="56" t="n"/>
      <c r="G135" s="60" t="n"/>
      <c r="H135" s="60" t="n"/>
      <c r="I135" s="60" t="n"/>
      <c r="J135" s="60" t="n"/>
      <c r="K135" s="60" t="n"/>
      <c r="L135" s="60" t="n"/>
      <c r="M135" s="60" t="n"/>
      <c r="N135" s="47" t="n"/>
    </row>
    <row r="136" ht="11.25" customFormat="1" customHeight="1" s="118">
      <c r="A136" s="39" t="inlineStr">
        <is>
          <t>Felipe (417)</t>
        </is>
      </c>
      <c r="B136" s="40" t="n">
        <v>417</v>
      </c>
      <c r="C136" s="41" t="n"/>
      <c r="D136" s="41" t="n"/>
      <c r="E136" s="41" t="n"/>
      <c r="F136" s="55" t="n"/>
      <c r="G136" s="59" t="n"/>
      <c r="H136" s="59" t="n"/>
      <c r="I136" s="59" t="n"/>
      <c r="J136" s="59" t="n"/>
      <c r="K136" s="59" t="n"/>
      <c r="L136" s="59" t="n"/>
      <c r="M136" s="59" t="n"/>
      <c r="N136" s="42" t="n"/>
    </row>
    <row r="137" ht="11.25" customFormat="1" customHeight="1" s="118">
      <c r="A137" s="43" t="n"/>
      <c r="B137" s="42" t="n"/>
      <c r="C137" s="41" t="n"/>
      <c r="D137" s="41" t="n"/>
      <c r="E137" s="41" t="n"/>
      <c r="F137" s="55" t="n"/>
      <c r="G137" s="59" t="n"/>
      <c r="H137" s="59" t="n"/>
      <c r="I137" s="59" t="n"/>
      <c r="J137" s="59" t="n"/>
      <c r="K137" s="59" t="n"/>
      <c r="L137" s="59" t="n"/>
      <c r="M137" s="59" t="n"/>
      <c r="N137" s="42" t="n"/>
    </row>
    <row r="138" ht="11.25" customFormat="1" customHeight="1" s="118">
      <c r="A138" s="43" t="n"/>
      <c r="B138" s="42" t="n"/>
      <c r="C138" s="41" t="n"/>
      <c r="D138" s="41" t="n"/>
      <c r="E138" s="41" t="n"/>
      <c r="F138" s="55" t="n"/>
      <c r="G138" s="59" t="n"/>
      <c r="H138" s="59" t="n"/>
      <c r="I138" s="59" t="n"/>
      <c r="J138" s="59" t="n"/>
      <c r="K138" s="59" t="n"/>
      <c r="L138" s="59" t="n"/>
      <c r="M138" s="59" t="n"/>
      <c r="N138" s="42" t="n"/>
    </row>
    <row r="139" ht="11.25" customFormat="1" customHeight="1" s="118">
      <c r="A139" s="44" t="inlineStr">
        <is>
          <t>Vicente Yahir Domínguez</t>
        </is>
      </c>
      <c r="B139" s="45" t="n">
        <v>428</v>
      </c>
      <c r="C139" s="46" t="inlineStr">
        <is>
          <t>ST-197</t>
        </is>
      </c>
      <c r="D139" s="46" t="inlineStr">
        <is>
          <t>Cubos</t>
        </is>
      </c>
      <c r="E139" s="46" t="inlineStr">
        <is>
          <t>AG3</t>
        </is>
      </c>
      <c r="F139" s="56" t="n">
        <v>12</v>
      </c>
      <c r="G139" s="61" t="n"/>
      <c r="H139" s="61" t="n"/>
      <c r="I139" s="61" t="n">
        <v>3.6</v>
      </c>
      <c r="J139" s="61" t="n">
        <v>3.7</v>
      </c>
      <c r="K139" s="61" t="n">
        <v>4.4</v>
      </c>
      <c r="L139" s="61" t="n"/>
      <c r="M139" s="61" t="n"/>
      <c r="N139" s="47" t="n"/>
    </row>
    <row r="140" ht="11.25" customFormat="1" customHeight="1" s="118">
      <c r="A140" s="48" t="n"/>
      <c r="B140" s="47" t="n"/>
      <c r="C140" s="46" t="n"/>
      <c r="D140" s="46" t="n"/>
      <c r="E140" s="46" t="n"/>
      <c r="F140" s="56" t="n"/>
      <c r="G140" s="60" t="n"/>
      <c r="H140" s="60" t="n"/>
      <c r="I140" s="60" t="n"/>
      <c r="J140" s="60" t="n"/>
      <c r="K140" s="60" t="n"/>
      <c r="L140" s="60" t="n"/>
      <c r="M140" s="60" t="n"/>
      <c r="N140" s="47" t="n"/>
    </row>
    <row r="141" ht="11.25" customFormat="1" customHeight="1" s="118">
      <c r="A141" s="48" t="n"/>
      <c r="B141" s="47" t="n"/>
      <c r="C141" s="46" t="n"/>
      <c r="D141" s="46" t="n"/>
      <c r="E141" s="46" t="n"/>
      <c r="F141" s="56" t="n"/>
      <c r="G141" s="60" t="n"/>
      <c r="H141" s="60" t="n"/>
      <c r="I141" s="60" t="n"/>
      <c r="J141" s="60" t="n"/>
      <c r="K141" s="60" t="n"/>
      <c r="L141" s="60" t="n"/>
      <c r="M141" s="60" t="n"/>
      <c r="N141" s="47" t="n"/>
    </row>
    <row r="142" ht="11.25" customFormat="1" customHeight="1" s="118">
      <c r="A142" s="39" t="inlineStr">
        <is>
          <t>Jesús</t>
        </is>
      </c>
      <c r="B142" s="40" t="n">
        <v>437</v>
      </c>
      <c r="C142" s="41" t="inlineStr">
        <is>
          <t>F-019-5</t>
        </is>
      </c>
      <c r="D142" s="41" t="inlineStr">
        <is>
          <t>Infinito</t>
        </is>
      </c>
      <c r="E142" s="41" t="inlineStr">
        <is>
          <t>AG3</t>
        </is>
      </c>
      <c r="F142" s="55" t="n">
        <v>12</v>
      </c>
      <c r="G142" s="59" t="n"/>
      <c r="H142" s="59" t="n"/>
      <c r="I142" s="59" t="n"/>
      <c r="J142" s="59" t="n"/>
      <c r="K142" s="59" t="n"/>
      <c r="L142" s="59" t="n"/>
      <c r="M142" s="59" t="n"/>
      <c r="N142" s="42" t="n"/>
    </row>
    <row r="143" ht="11.25" customFormat="1" customHeight="1" s="118">
      <c r="A143" s="39" t="inlineStr">
        <is>
          <t>Jesús</t>
        </is>
      </c>
      <c r="B143" s="40" t="n">
        <v>437</v>
      </c>
      <c r="C143" s="41" t="inlineStr">
        <is>
          <t>ST-192</t>
        </is>
      </c>
      <c r="D143" s="41" t="inlineStr">
        <is>
          <t>Rombos</t>
        </is>
      </c>
      <c r="E143" s="41" t="inlineStr">
        <is>
          <t>AG3</t>
        </is>
      </c>
      <c r="F143" s="55" t="n">
        <v>12</v>
      </c>
      <c r="G143" s="59" t="n"/>
      <c r="H143" s="59" t="n"/>
      <c r="I143" s="59" t="n"/>
      <c r="J143" s="59" t="n"/>
      <c r="K143" s="59" t="n"/>
      <c r="L143" s="59" t="n"/>
      <c r="M143" s="59" t="n"/>
      <c r="N143" s="42" t="n"/>
    </row>
    <row r="144" ht="11.25" customFormat="1" customHeight="1" s="118">
      <c r="A144" s="43" t="n"/>
      <c r="B144" s="42" t="n"/>
      <c r="C144" s="41" t="n"/>
      <c r="D144" s="41" t="n"/>
      <c r="E144" s="41" t="n"/>
      <c r="F144" s="55" t="n"/>
      <c r="G144" s="59" t="n"/>
      <c r="H144" s="59" t="n"/>
      <c r="I144" s="59" t="n"/>
      <c r="J144" s="59" t="n"/>
      <c r="K144" s="59" t="n"/>
      <c r="L144" s="59" t="n"/>
      <c r="M144" s="59" t="n"/>
      <c r="N144" s="42" t="n"/>
    </row>
    <row r="145" ht="11.25" customFormat="1" customHeight="1" s="118">
      <c r="A145" s="44" t="inlineStr">
        <is>
          <t>Ismael Bernal</t>
        </is>
      </c>
      <c r="B145" s="45" t="n">
        <v>462</v>
      </c>
      <c r="C145" s="46" t="inlineStr">
        <is>
          <t>F-019-1</t>
        </is>
      </c>
      <c r="D145" s="46" t="inlineStr">
        <is>
          <t>Infinito</t>
        </is>
      </c>
      <c r="E145" s="46" t="inlineStr">
        <is>
          <t>AG3</t>
        </is>
      </c>
      <c r="F145" s="56" t="n">
        <v>12</v>
      </c>
      <c r="G145" s="60" t="n"/>
      <c r="H145" s="60" t="n"/>
      <c r="I145" s="60" t="n"/>
      <c r="J145" s="60" t="n"/>
      <c r="K145" s="60" t="n"/>
      <c r="L145" s="60" t="n"/>
      <c r="M145" s="60" t="n"/>
      <c r="N145" s="47" t="n"/>
    </row>
    <row r="146" ht="11.25" customFormat="1" customHeight="1" s="118">
      <c r="A146" s="48" t="n"/>
      <c r="B146" s="47" t="n"/>
      <c r="C146" s="46" t="n"/>
      <c r="D146" s="46" t="n"/>
      <c r="E146" s="46" t="n"/>
      <c r="F146" s="56" t="n"/>
      <c r="G146" s="60" t="n"/>
      <c r="H146" s="60" t="n"/>
      <c r="I146" s="60" t="n"/>
      <c r="J146" s="60" t="n"/>
      <c r="K146" s="60" t="n"/>
      <c r="L146" s="60" t="n"/>
      <c r="M146" s="60" t="n"/>
      <c r="N146" s="47" t="n"/>
    </row>
    <row r="147" ht="11.25" customFormat="1" customHeight="1" s="118">
      <c r="A147" s="48" t="n"/>
      <c r="B147" s="47" t="n"/>
      <c r="C147" s="46" t="n"/>
      <c r="D147" s="46" t="n"/>
      <c r="E147" s="46" t="n"/>
      <c r="F147" s="56" t="n"/>
      <c r="G147" s="60" t="n"/>
      <c r="H147" s="60" t="n"/>
      <c r="I147" s="60" t="n"/>
      <c r="J147" s="60" t="n"/>
      <c r="K147" s="60" t="n"/>
      <c r="L147" s="60" t="n"/>
      <c r="M147" s="60" t="n"/>
      <c r="N147" s="47" t="n"/>
    </row>
    <row r="148" ht="11.25" customFormat="1" customHeight="1" s="118">
      <c r="A148" s="39" t="inlineStr">
        <is>
          <t>Luis Íñiguez</t>
        </is>
      </c>
      <c r="B148" s="40" t="n">
        <v>473</v>
      </c>
      <c r="C148" s="41" t="n"/>
      <c r="D148" s="41" t="n"/>
      <c r="E148" s="41" t="n"/>
      <c r="F148" s="55" t="n"/>
      <c r="G148" s="59" t="n"/>
      <c r="H148" s="59" t="n"/>
      <c r="I148" s="59" t="n"/>
      <c r="J148" s="59" t="n"/>
      <c r="K148" s="59" t="n"/>
      <c r="L148" s="59" t="n"/>
      <c r="M148" s="59" t="n"/>
      <c r="N148" s="42" t="n"/>
    </row>
    <row r="149" ht="11.25" customFormat="1" customHeight="1" s="118">
      <c r="A149" s="43" t="n"/>
      <c r="B149" s="42" t="n"/>
      <c r="C149" s="41" t="n"/>
      <c r="D149" s="41" t="n"/>
      <c r="E149" s="41" t="n"/>
      <c r="F149" s="55" t="n"/>
      <c r="G149" s="59" t="n"/>
      <c r="H149" s="59" t="n"/>
      <c r="I149" s="59" t="n"/>
      <c r="J149" s="59" t="n"/>
      <c r="K149" s="59" t="n"/>
      <c r="L149" s="59" t="n"/>
      <c r="M149" s="59" t="n"/>
      <c r="N149" s="42" t="n"/>
    </row>
    <row r="150" ht="11.25" customFormat="1" customHeight="1" s="118">
      <c r="A150" s="43" t="n"/>
      <c r="B150" s="42" t="n"/>
      <c r="C150" s="41" t="n"/>
      <c r="D150" s="41" t="n"/>
      <c r="E150" s="41" t="n"/>
      <c r="F150" s="55" t="n"/>
      <c r="G150" s="59" t="n"/>
      <c r="H150" s="59" t="n"/>
      <c r="I150" s="59" t="n"/>
      <c r="J150" s="59" t="n"/>
      <c r="K150" s="59" t="n"/>
      <c r="L150" s="59" t="n"/>
      <c r="M150" s="59" t="n"/>
      <c r="N150" s="42" t="n"/>
    </row>
    <row r="151" ht="11.25" customFormat="1" customHeight="1" s="118">
      <c r="A151" s="44" t="inlineStr">
        <is>
          <t>Rubén</t>
        </is>
      </c>
      <c r="B151" s="45" t="n">
        <v>475</v>
      </c>
      <c r="C151" s="46" t="n"/>
      <c r="D151" s="46" t="n"/>
      <c r="E151" s="46" t="n"/>
      <c r="F151" s="56" t="n"/>
      <c r="G151" s="60" t="n"/>
      <c r="H151" s="60" t="n"/>
      <c r="I151" s="60" t="n"/>
      <c r="J151" s="60" t="n"/>
      <c r="K151" s="60" t="n"/>
      <c r="L151" s="60" t="n"/>
      <c r="M151" s="60" t="n"/>
      <c r="N151" s="47" t="n"/>
    </row>
    <row r="152" ht="11.25" customFormat="1" customHeight="1" s="118">
      <c r="A152" s="48" t="n"/>
      <c r="B152" s="47" t="n"/>
      <c r="C152" s="46" t="n"/>
      <c r="D152" s="46" t="n"/>
      <c r="E152" s="46" t="n"/>
      <c r="F152" s="56" t="n"/>
      <c r="G152" s="60" t="n"/>
      <c r="H152" s="60" t="n"/>
      <c r="I152" s="60" t="n"/>
      <c r="J152" s="60" t="n"/>
      <c r="K152" s="60" t="n"/>
      <c r="L152" s="60" t="n"/>
      <c r="M152" s="60" t="n"/>
      <c r="N152" s="47" t="n"/>
    </row>
    <row r="153" ht="11.25" customFormat="1" customHeight="1" s="118">
      <c r="A153" s="48" t="n"/>
      <c r="B153" s="47" t="n"/>
      <c r="C153" s="46" t="n"/>
      <c r="D153" s="46" t="n"/>
      <c r="E153" s="46" t="n"/>
      <c r="F153" s="56" t="n"/>
      <c r="G153" s="60" t="n"/>
      <c r="H153" s="60" t="n"/>
      <c r="I153" s="60" t="n"/>
      <c r="J153" s="60" t="n"/>
      <c r="K153" s="60" t="n"/>
      <c r="L153" s="60" t="n"/>
      <c r="M153" s="60" t="n"/>
      <c r="N153" s="47" t="n"/>
    </row>
    <row r="154" ht="11.25" customFormat="1" customHeight="1" s="118">
      <c r="A154" s="39" t="inlineStr">
        <is>
          <t>Iván Díaz</t>
        </is>
      </c>
      <c r="B154" s="40" t="n">
        <v>487</v>
      </c>
      <c r="C154" s="41" t="inlineStr">
        <is>
          <t>F-023-D</t>
        </is>
      </c>
      <c r="D154" s="41" t="inlineStr">
        <is>
          <t>Secuencia</t>
        </is>
      </c>
      <c r="E154" s="41" t="inlineStr">
        <is>
          <t>AG3</t>
        </is>
      </c>
      <c r="F154" s="55" t="n">
        <v>12</v>
      </c>
      <c r="G154" s="59" t="n">
        <v>5.9</v>
      </c>
      <c r="H154" s="59" t="n"/>
      <c r="I154" s="59" t="n"/>
      <c r="J154" s="59" t="n"/>
      <c r="K154" s="59" t="n"/>
      <c r="L154" s="59" t="n"/>
      <c r="M154" s="59" t="n"/>
      <c r="N154" s="42" t="n"/>
    </row>
    <row r="155" ht="11.25" customFormat="1" customHeight="1" s="118">
      <c r="A155" s="39" t="inlineStr">
        <is>
          <t>Iván Díaz</t>
        </is>
      </c>
      <c r="B155" s="40" t="n">
        <v>487</v>
      </c>
      <c r="C155" s="41" t="inlineStr">
        <is>
          <t>ST-219</t>
        </is>
      </c>
      <c r="D155" s="41" t="inlineStr">
        <is>
          <t>Cubos</t>
        </is>
      </c>
      <c r="E155" s="41" t="inlineStr">
        <is>
          <t>AG3</t>
        </is>
      </c>
      <c r="F155" s="55" t="n">
        <v>12</v>
      </c>
      <c r="G155" s="59" t="n"/>
      <c r="H155" s="59" t="n"/>
      <c r="I155" s="59" t="n">
        <v>3.3</v>
      </c>
      <c r="J155" s="59" t="n">
        <v>6.7</v>
      </c>
      <c r="K155" s="59" t="n">
        <v>6.1</v>
      </c>
      <c r="L155" s="59" t="n"/>
      <c r="M155" s="59" t="n"/>
      <c r="N155" s="42" t="n"/>
    </row>
    <row r="156" ht="11.25" customFormat="1" customHeight="1" s="118">
      <c r="A156" s="43" t="n"/>
      <c r="B156" s="42" t="n"/>
      <c r="C156" s="41" t="n"/>
      <c r="D156" s="41" t="n"/>
      <c r="E156" s="41" t="n"/>
      <c r="F156" s="55" t="n"/>
      <c r="G156" s="59" t="n"/>
      <c r="H156" s="59" t="n"/>
      <c r="I156" s="59" t="n"/>
      <c r="J156" s="59" t="n"/>
      <c r="K156" s="59" t="n"/>
      <c r="L156" s="59" t="n"/>
      <c r="M156" s="59" t="n"/>
      <c r="N156" s="42" t="n"/>
    </row>
    <row r="157" ht="11.25" customFormat="1" customHeight="1" s="118">
      <c r="A157" s="44" t="inlineStr">
        <is>
          <t>Cervando Leos</t>
        </is>
      </c>
      <c r="B157" s="45" t="n">
        <v>578</v>
      </c>
      <c r="C157" s="46" t="inlineStr">
        <is>
          <t>ST-204</t>
        </is>
      </c>
      <c r="D157" s="46" t="inlineStr">
        <is>
          <t>Centella</t>
        </is>
      </c>
      <c r="E157" s="46" t="inlineStr">
        <is>
          <t>AG3</t>
        </is>
      </c>
      <c r="F157" s="56" t="n">
        <v>12</v>
      </c>
      <c r="G157" s="60" t="n">
        <v>4.3</v>
      </c>
      <c r="H157" s="60" t="n"/>
      <c r="I157" s="60" t="n"/>
      <c r="J157" s="60" t="n"/>
      <c r="K157" s="60" t="n"/>
      <c r="L157" s="60" t="n"/>
      <c r="M157" s="60" t="n"/>
      <c r="N157" s="47" t="n"/>
    </row>
    <row r="158" ht="11.25" customFormat="1" customHeight="1" s="118">
      <c r="A158" s="44" t="inlineStr">
        <is>
          <t>Cervando Leos</t>
        </is>
      </c>
      <c r="B158" s="45" t="n">
        <v>578</v>
      </c>
      <c r="C158" s="46" t="inlineStr">
        <is>
          <t>F-019-K</t>
        </is>
      </c>
      <c r="D158" s="46" t="n"/>
      <c r="E158" s="46" t="inlineStr">
        <is>
          <t>AG3</t>
        </is>
      </c>
      <c r="F158" s="56" t="n">
        <v>12</v>
      </c>
      <c r="G158" s="61" t="n"/>
      <c r="H158" s="61" t="n">
        <v>6</v>
      </c>
      <c r="I158" s="61" t="n">
        <v>6</v>
      </c>
      <c r="J158" s="61" t="n"/>
      <c r="K158" s="61" t="n"/>
      <c r="L158" s="61" t="n"/>
      <c r="M158" s="61" t="n"/>
      <c r="N158" s="47" t="n"/>
    </row>
    <row r="159" ht="11.25" customFormat="1" customHeight="1" s="118">
      <c r="A159" s="44" t="inlineStr">
        <is>
          <t>Cervando Leos</t>
        </is>
      </c>
      <c r="B159" s="45" t="n">
        <v>578</v>
      </c>
      <c r="C159" s="70" t="inlineStr">
        <is>
          <t>ST-230</t>
        </is>
      </c>
      <c r="D159" s="70" t="inlineStr">
        <is>
          <t>Guia</t>
        </is>
      </c>
      <c r="E159" s="70" t="inlineStr">
        <is>
          <t>AG3</t>
        </is>
      </c>
      <c r="F159" s="71" t="n">
        <v>12</v>
      </c>
      <c r="G159" s="72" t="n"/>
      <c r="H159" s="72" t="n"/>
      <c r="I159" s="72" t="n"/>
      <c r="J159" s="72" t="n">
        <v>3.9</v>
      </c>
      <c r="K159" s="72" t="n">
        <v>6.6</v>
      </c>
      <c r="L159" s="72" t="n"/>
      <c r="M159" s="72" t="n"/>
      <c r="N159" s="69" t="n"/>
    </row>
    <row r="160" ht="11.25" customFormat="1" customHeight="1" s="118">
      <c r="A160" s="39" t="inlineStr">
        <is>
          <t>Benjamín (578)</t>
        </is>
      </c>
      <c r="B160" s="40" t="n">
        <v>578</v>
      </c>
      <c r="C160" s="41" t="inlineStr">
        <is>
          <t>REP</t>
        </is>
      </c>
      <c r="D160" s="41" t="inlineStr">
        <is>
          <t>Reparación Concha</t>
        </is>
      </c>
      <c r="E160" s="41" t="inlineStr">
        <is>
          <t>AG3</t>
        </is>
      </c>
      <c r="F160" s="55" t="n">
        <v>14</v>
      </c>
      <c r="G160" s="62" t="n"/>
      <c r="H160" s="62" t="n"/>
      <c r="I160" s="62" t="n"/>
      <c r="J160" s="62" t="n">
        <v>3</v>
      </c>
      <c r="K160" s="62" t="n"/>
      <c r="L160" s="62" t="n"/>
      <c r="M160" s="62" t="n"/>
      <c r="N160" s="42" t="n"/>
    </row>
    <row r="161" ht="11.25" customFormat="1" customHeight="1" s="118">
      <c r="A161" s="44" t="inlineStr">
        <is>
          <t>Miguel Ortiz Méndez</t>
        </is>
      </c>
      <c r="B161" s="45" t="n">
        <v>584</v>
      </c>
      <c r="C161" s="46" t="inlineStr">
        <is>
          <t>P-317</t>
        </is>
      </c>
      <c r="D161" s="46" t="inlineStr">
        <is>
          <t>Aros</t>
        </is>
      </c>
      <c r="E161" s="46" t="inlineStr">
        <is>
          <t>AG3</t>
        </is>
      </c>
      <c r="F161" s="56" t="n">
        <v>12</v>
      </c>
      <c r="G161" s="61" t="n"/>
      <c r="H161" s="61" t="n">
        <v>9.5</v>
      </c>
      <c r="I161" s="61" t="n">
        <v>3</v>
      </c>
      <c r="J161" s="61" t="n">
        <v>3.3</v>
      </c>
      <c r="K161" s="61" t="n">
        <v>9</v>
      </c>
      <c r="L161" s="61" t="n"/>
      <c r="M161" s="61" t="n"/>
      <c r="N161" s="47" t="n"/>
    </row>
    <row r="162" ht="11.25" customFormat="1" customHeight="1" s="118">
      <c r="A162" s="44" t="inlineStr">
        <is>
          <t>Miguel Ortiz Méndez</t>
        </is>
      </c>
      <c r="B162" s="45" t="n">
        <v>584</v>
      </c>
      <c r="C162" s="46" t="inlineStr">
        <is>
          <t>F-019-A</t>
        </is>
      </c>
      <c r="D162" s="46" t="inlineStr">
        <is>
          <t>Mil Cruces</t>
        </is>
      </c>
      <c r="E162" s="46" t="inlineStr">
        <is>
          <t>AG3</t>
        </is>
      </c>
      <c r="F162" s="56" t="n">
        <v>16</v>
      </c>
      <c r="G162" s="61" t="n"/>
      <c r="H162" s="61" t="n"/>
      <c r="I162" s="61" t="n"/>
      <c r="J162" s="61" t="n"/>
      <c r="K162" s="61" t="n"/>
      <c r="L162" s="61" t="n"/>
      <c r="M162" s="61" t="n"/>
      <c r="N162" s="47" t="n"/>
    </row>
    <row r="163" ht="11.25" customFormat="1" customHeight="1" s="118">
      <c r="A163" s="44" t="inlineStr">
        <is>
          <t>Miguel Ortiz Méndez</t>
        </is>
      </c>
      <c r="B163" s="45" t="n">
        <v>584</v>
      </c>
      <c r="C163" s="46" t="inlineStr">
        <is>
          <t>P-317</t>
        </is>
      </c>
      <c r="D163" s="46" t="inlineStr">
        <is>
          <t>Aros</t>
        </is>
      </c>
      <c r="E163" s="46" t="inlineStr">
        <is>
          <t>DOL</t>
        </is>
      </c>
      <c r="F163" s="56" t="n">
        <v>13</v>
      </c>
      <c r="G163" s="61" t="n"/>
      <c r="H163" s="61" t="n"/>
      <c r="I163" s="61" t="n">
        <v>1.8</v>
      </c>
      <c r="J163" s="61" t="n"/>
      <c r="K163" s="61" t="n"/>
      <c r="L163" s="61" t="n"/>
      <c r="M163" s="61" t="n"/>
      <c r="N163" s="47" t="n"/>
    </row>
    <row r="164" ht="11.25" customFormat="1" customHeight="1" s="118">
      <c r="A164" s="39" t="inlineStr">
        <is>
          <t>Jaime</t>
        </is>
      </c>
      <c r="B164" s="40" t="n">
        <v>682</v>
      </c>
      <c r="C164" s="41" t="n"/>
      <c r="D164" s="41" t="n"/>
      <c r="E164" s="41" t="n"/>
      <c r="F164" s="55" t="n"/>
      <c r="G164" s="62" t="n"/>
      <c r="H164" s="62" t="n"/>
      <c r="I164" s="62" t="n"/>
      <c r="J164" s="62" t="n"/>
      <c r="K164" s="62" t="n"/>
      <c r="L164" s="62" t="n"/>
      <c r="M164" s="62" t="n"/>
      <c r="N164" s="42" t="n"/>
    </row>
    <row r="165" ht="11.25" customFormat="1" customHeight="1" s="118">
      <c r="A165" s="43" t="n"/>
      <c r="B165" s="42" t="n"/>
      <c r="C165" s="41" t="n"/>
      <c r="D165" s="41" t="n"/>
      <c r="E165" s="41" t="n"/>
      <c r="F165" s="55" t="n"/>
      <c r="G165" s="62" t="n"/>
      <c r="H165" s="62" t="n"/>
      <c r="I165" s="62" t="n"/>
      <c r="J165" s="62" t="n"/>
      <c r="K165" s="62" t="n"/>
      <c r="L165" s="62" t="n"/>
      <c r="M165" s="62" t="n"/>
      <c r="N165" s="42" t="n"/>
    </row>
    <row r="166" ht="11.25" customFormat="1" customHeight="1" s="118">
      <c r="A166" s="43" t="n"/>
      <c r="B166" s="42" t="n"/>
      <c r="C166" s="41" t="n"/>
      <c r="D166" s="41" t="n"/>
      <c r="E166" s="41" t="n"/>
      <c r="F166" s="55" t="n"/>
      <c r="G166" s="62" t="n"/>
      <c r="H166" s="62" t="n"/>
      <c r="I166" s="62" t="n"/>
      <c r="J166" s="62" t="n"/>
      <c r="K166" s="62" t="n"/>
      <c r="L166" s="62" t="n"/>
      <c r="M166" s="62" t="n"/>
      <c r="N166" s="42" t="n"/>
    </row>
    <row r="167" ht="11.25" customFormat="1" customHeight="1" s="118">
      <c r="A167" s="44" t="inlineStr">
        <is>
          <t>Molina</t>
        </is>
      </c>
      <c r="B167" s="45" t="n">
        <v>754</v>
      </c>
      <c r="C167" s="46" t="inlineStr">
        <is>
          <t>F-023-B</t>
        </is>
      </c>
      <c r="D167" s="46" t="inlineStr">
        <is>
          <t>Sentella</t>
        </is>
      </c>
      <c r="E167" s="46" t="inlineStr">
        <is>
          <t>AG3</t>
        </is>
      </c>
      <c r="F167" s="56" t="n">
        <v>12</v>
      </c>
      <c r="G167" s="61" t="n"/>
      <c r="H167" s="61" t="n"/>
      <c r="I167" s="61" t="n">
        <v>3.8</v>
      </c>
      <c r="J167" s="61" t="n">
        <v>4.1</v>
      </c>
      <c r="K167" s="61" t="n">
        <v>4</v>
      </c>
      <c r="L167" s="61" t="n"/>
      <c r="M167" s="61" t="n"/>
      <c r="N167" s="47" t="n"/>
    </row>
    <row r="168" ht="11.25" customFormat="1" customHeight="1" s="118">
      <c r="A168" s="48" t="n"/>
      <c r="B168" s="47" t="n"/>
      <c r="C168" s="46" t="n"/>
      <c r="D168" s="46" t="n"/>
      <c r="E168" s="46" t="n"/>
      <c r="F168" s="56" t="n"/>
      <c r="G168" s="61" t="n"/>
      <c r="H168" s="61" t="n"/>
      <c r="I168" s="61" t="n"/>
      <c r="J168" s="61" t="n"/>
      <c r="K168" s="61" t="n"/>
      <c r="L168" s="61" t="n"/>
      <c r="M168" s="61" t="n"/>
      <c r="N168" s="47" t="n"/>
    </row>
    <row r="169" ht="11.25" customFormat="1" customHeight="1" s="118">
      <c r="A169" s="48" t="n"/>
      <c r="B169" s="47" t="n"/>
      <c r="C169" s="46" t="n"/>
      <c r="D169" s="46" t="n"/>
      <c r="E169" s="46" t="n"/>
      <c r="F169" s="56" t="n"/>
      <c r="G169" s="61" t="n"/>
      <c r="H169" s="61" t="n"/>
      <c r="I169" s="61" t="n"/>
      <c r="J169" s="61" t="n"/>
      <c r="K169" s="61" t="n"/>
      <c r="L169" s="61" t="n"/>
      <c r="M169" s="61" t="n"/>
      <c r="N169" s="47" t="n"/>
    </row>
    <row r="170" ht="11.25" customFormat="1" customHeight="1" s="118">
      <c r="A170" s="39" t="inlineStr">
        <is>
          <t>Daniel</t>
        </is>
      </c>
      <c r="B170" s="40" t="n">
        <v>772</v>
      </c>
      <c r="C170" s="41" t="inlineStr">
        <is>
          <t>ST-48</t>
        </is>
      </c>
      <c r="D170" s="41" t="inlineStr">
        <is>
          <t>Cubos</t>
        </is>
      </c>
      <c r="E170" s="41" t="inlineStr">
        <is>
          <t>AG3</t>
        </is>
      </c>
      <c r="F170" s="55" t="n">
        <v>12</v>
      </c>
      <c r="G170" s="62" t="n"/>
      <c r="H170" s="62" t="n"/>
      <c r="I170" s="62" t="n"/>
      <c r="J170" s="62" t="n"/>
      <c r="K170" s="62" t="n"/>
      <c r="L170" s="62" t="n"/>
      <c r="M170" s="62" t="n"/>
      <c r="N170" s="42" t="n"/>
    </row>
    <row r="171" ht="11.25" customFormat="1" customHeight="1" s="118">
      <c r="A171" s="43" t="n"/>
      <c r="B171" s="42" t="n"/>
      <c r="C171" s="41" t="n"/>
      <c r="D171" s="41" t="n"/>
      <c r="E171" s="41" t="n"/>
      <c r="F171" s="55" t="n"/>
      <c r="G171" s="62" t="n"/>
      <c r="H171" s="62" t="n"/>
      <c r="I171" s="62" t="n"/>
      <c r="J171" s="62" t="n"/>
      <c r="K171" s="62" t="n"/>
      <c r="L171" s="62" t="n"/>
      <c r="M171" s="62" t="n"/>
      <c r="N171" s="42" t="n"/>
    </row>
    <row r="172" ht="11.25" customFormat="1" customHeight="1" s="118">
      <c r="A172" s="43" t="n"/>
      <c r="B172" s="42" t="n"/>
      <c r="C172" s="41" t="n"/>
      <c r="D172" s="41" t="n"/>
      <c r="E172" s="41" t="n"/>
      <c r="F172" s="55" t="n"/>
      <c r="G172" s="62" t="n"/>
      <c r="H172" s="62" t="n"/>
      <c r="I172" s="62" t="n"/>
      <c r="J172" s="62" t="n"/>
      <c r="K172" s="62" t="n"/>
      <c r="L172" s="62" t="n"/>
      <c r="M172" s="62" t="n"/>
      <c r="N172" s="42" t="n"/>
    </row>
    <row r="173" ht="11.25" customFormat="1" customHeight="1" s="118">
      <c r="A173" s="44" t="inlineStr">
        <is>
          <t>Carlos Anguiano</t>
        </is>
      </c>
      <c r="B173" s="45" t="n">
        <v>777</v>
      </c>
      <c r="C173" s="46" t="n"/>
      <c r="D173" s="46" t="n"/>
      <c r="E173" s="46" t="n"/>
      <c r="F173" s="56" t="n"/>
      <c r="G173" s="61" t="n"/>
      <c r="H173" s="61" t="n"/>
      <c r="I173" s="61" t="n"/>
      <c r="J173" s="61" t="n"/>
      <c r="K173" s="61" t="n"/>
      <c r="L173" s="61" t="n"/>
      <c r="M173" s="61" t="n"/>
      <c r="N173" s="47" t="n"/>
    </row>
    <row r="174" ht="11.25" customFormat="1" customHeight="1" s="118">
      <c r="A174" s="48" t="n"/>
      <c r="B174" s="47" t="n"/>
      <c r="C174" s="46" t="n"/>
      <c r="D174" s="46" t="n"/>
      <c r="E174" s="46" t="n"/>
      <c r="F174" s="56" t="n"/>
      <c r="G174" s="61" t="n"/>
      <c r="H174" s="61" t="n"/>
      <c r="I174" s="61" t="n"/>
      <c r="J174" s="61" t="n"/>
      <c r="K174" s="61" t="n"/>
      <c r="L174" s="61" t="n"/>
      <c r="M174" s="61" t="n"/>
      <c r="N174" s="47" t="n"/>
    </row>
    <row r="175" ht="11.25" customFormat="1" customHeight="1" s="118">
      <c r="A175" s="48" t="n"/>
      <c r="B175" s="47" t="n"/>
      <c r="C175" s="46" t="n"/>
      <c r="D175" s="46" t="n"/>
      <c r="E175" s="46" t="n"/>
      <c r="F175" s="56" t="n"/>
      <c r="G175" s="61" t="n"/>
      <c r="H175" s="61" t="n"/>
      <c r="I175" s="61" t="n"/>
      <c r="J175" s="61" t="n"/>
      <c r="K175" s="61" t="n"/>
      <c r="L175" s="61" t="n"/>
      <c r="M175" s="61" t="n"/>
      <c r="N175" s="47" t="n"/>
    </row>
    <row r="176" ht="11.25" customFormat="1" customHeight="1" s="118">
      <c r="A176" s="78" t="inlineStr">
        <is>
          <t>Julio (828)</t>
        </is>
      </c>
      <c r="B176" s="79" t="n">
        <v>828</v>
      </c>
      <c r="C176" s="75" t="n"/>
      <c r="D176" s="75" t="n"/>
      <c r="E176" s="75" t="n"/>
      <c r="F176" s="76" t="n"/>
      <c r="G176" s="77" t="n"/>
      <c r="H176" s="77" t="n"/>
      <c r="I176" s="77" t="n"/>
      <c r="J176" s="77" t="n"/>
      <c r="K176" s="77" t="n"/>
      <c r="L176" s="77" t="n"/>
      <c r="M176" s="77" t="n"/>
      <c r="N176" s="74" t="n"/>
    </row>
    <row r="177" ht="11.25" customFormat="1" customHeight="1" s="118">
      <c r="A177" s="80" t="n"/>
      <c r="B177" s="74" t="n"/>
      <c r="C177" s="75" t="n"/>
      <c r="D177" s="75" t="n"/>
      <c r="E177" s="75" t="n"/>
      <c r="F177" s="76" t="n"/>
      <c r="G177" s="77" t="n"/>
      <c r="H177" s="77" t="n"/>
      <c r="I177" s="77" t="n"/>
      <c r="J177" s="77" t="n"/>
      <c r="K177" s="77" t="n"/>
      <c r="L177" s="77" t="n"/>
      <c r="M177" s="77" t="n"/>
      <c r="N177" s="74" t="n"/>
    </row>
    <row r="178" ht="11.25" customFormat="1" customHeight="1" s="118">
      <c r="A178" s="80" t="n"/>
      <c r="B178" s="74" t="n"/>
      <c r="C178" s="75" t="n"/>
      <c r="D178" s="75" t="n"/>
      <c r="E178" s="75" t="n"/>
      <c r="F178" s="76" t="n"/>
      <c r="G178" s="77" t="n"/>
      <c r="H178" s="77" t="n"/>
      <c r="I178" s="77" t="n"/>
      <c r="J178" s="77" t="n"/>
      <c r="K178" s="77" t="n"/>
      <c r="L178" s="77" t="n"/>
      <c r="M178" s="77" t="n"/>
      <c r="N178" s="74" t="n"/>
    </row>
    <row r="179" ht="11.25" customFormat="1" customHeight="1" s="118">
      <c r="A179" s="68" t="inlineStr">
        <is>
          <t>Octavio (264)</t>
        </is>
      </c>
      <c r="B179" s="69" t="n">
        <v>264</v>
      </c>
      <c r="C179" s="70" t="inlineStr">
        <is>
          <t>PT-328</t>
        </is>
      </c>
      <c r="D179" s="70" t="inlineStr">
        <is>
          <t>Secuencia</t>
        </is>
      </c>
      <c r="E179" s="70" t="inlineStr">
        <is>
          <t>AG3</t>
        </is>
      </c>
      <c r="F179" s="71" t="n">
        <v>12</v>
      </c>
      <c r="G179" s="72" t="n">
        <v>8.300000000000001</v>
      </c>
      <c r="H179" s="72" t="n">
        <v>1.9</v>
      </c>
      <c r="I179" s="72" t="n"/>
      <c r="J179" s="72" t="n"/>
      <c r="K179" s="72" t="n"/>
      <c r="L179" s="72" t="n"/>
      <c r="M179" s="72" t="n"/>
      <c r="N179" s="69" t="n"/>
    </row>
    <row r="180" ht="11.25" customFormat="1" customHeight="1" s="118">
      <c r="A180" s="68" t="inlineStr">
        <is>
          <t>Octavio (264)</t>
        </is>
      </c>
      <c r="B180" s="69" t="n">
        <v>264</v>
      </c>
      <c r="C180" s="70" t="inlineStr">
        <is>
          <t>PT-338</t>
        </is>
      </c>
      <c r="D180" s="70" t="inlineStr">
        <is>
          <t>Rombos</t>
        </is>
      </c>
      <c r="E180" s="70" t="inlineStr">
        <is>
          <t>AG3</t>
        </is>
      </c>
      <c r="F180" s="71" t="n">
        <v>12</v>
      </c>
      <c r="G180" s="72" t="n"/>
      <c r="H180" s="72" t="n">
        <v>4.9</v>
      </c>
      <c r="I180" s="72" t="n">
        <v>8.300000000000001</v>
      </c>
      <c r="J180" s="72" t="n">
        <v>4.4</v>
      </c>
      <c r="K180" s="72" t="n">
        <v>16.6</v>
      </c>
      <c r="L180" s="72" t="n"/>
      <c r="M180" s="72" t="n"/>
      <c r="N180" s="69" t="n"/>
    </row>
    <row r="181" ht="11.25" customFormat="1" customHeight="1" s="118">
      <c r="A181" s="68" t="inlineStr">
        <is>
          <t>Octavio (264)</t>
        </is>
      </c>
      <c r="B181" s="69" t="n">
        <v>264</v>
      </c>
      <c r="C181" s="70" t="inlineStr">
        <is>
          <t>F-019-X</t>
        </is>
      </c>
      <c r="D181" s="70" t="inlineStr">
        <is>
          <t>Guia</t>
        </is>
      </c>
      <c r="E181" s="70" t="inlineStr">
        <is>
          <t>AG3</t>
        </is>
      </c>
      <c r="F181" s="71" t="n">
        <v>12</v>
      </c>
      <c r="G181" s="72" t="n"/>
      <c r="H181" s="72" t="n"/>
      <c r="I181" s="72" t="n">
        <v>4.5</v>
      </c>
      <c r="J181" s="72" t="n">
        <v>4.4</v>
      </c>
      <c r="K181" s="72" t="n"/>
      <c r="L181" s="72" t="n"/>
      <c r="M181" s="72" t="n"/>
      <c r="N181" s="69" t="n"/>
    </row>
    <row r="182" ht="11.25" customFormat="1" customHeight="1" s="118">
      <c r="A182" s="73" t="n"/>
      <c r="B182" s="74" t="n"/>
      <c r="C182" s="75" t="n"/>
      <c r="D182" s="75" t="n"/>
      <c r="E182" s="75" t="n"/>
      <c r="F182" s="76" t="n"/>
      <c r="G182" s="77" t="n"/>
      <c r="H182" s="77" t="n"/>
      <c r="I182" s="77" t="n"/>
      <c r="J182" s="77" t="n"/>
      <c r="K182" s="77" t="n"/>
      <c r="L182" s="77" t="n"/>
      <c r="M182" s="77" t="n"/>
      <c r="N182" s="74" t="n"/>
    </row>
    <row r="183" ht="11.25" customFormat="1" customHeight="1" s="118">
      <c r="A183" s="68" t="inlineStr">
        <is>
          <t>Hector</t>
        </is>
      </c>
      <c r="B183" s="69" t="n">
        <v>337</v>
      </c>
      <c r="C183" s="70" t="inlineStr">
        <is>
          <t>F-019-3</t>
        </is>
      </c>
      <c r="D183" s="70" t="n"/>
      <c r="E183" s="70" t="n"/>
      <c r="F183" s="71" t="n"/>
      <c r="G183" s="72" t="n"/>
      <c r="H183" s="72" t="n"/>
      <c r="I183" s="72" t="n"/>
      <c r="J183" s="72" t="n"/>
      <c r="K183" s="72" t="n"/>
      <c r="L183" s="72" t="n"/>
      <c r="M183" s="72" t="n"/>
      <c r="N183" s="69" t="n"/>
    </row>
    <row r="184" ht="11.25" customFormat="1" customHeight="1" s="118">
      <c r="A184" s="73" t="inlineStr">
        <is>
          <t>Trinidad</t>
        </is>
      </c>
      <c r="B184" s="74" t="n">
        <v>371</v>
      </c>
      <c r="C184" s="75" t="inlineStr">
        <is>
          <t>F-023-A</t>
        </is>
      </c>
      <c r="D184" s="75" t="inlineStr">
        <is>
          <t>Costura</t>
        </is>
      </c>
      <c r="E184" s="75" t="inlineStr">
        <is>
          <t>AG3</t>
        </is>
      </c>
      <c r="F184" s="76" t="n">
        <v>12</v>
      </c>
      <c r="G184" s="77" t="n">
        <v>3.6</v>
      </c>
      <c r="H184" s="77" t="n"/>
      <c r="I184" s="77" t="n"/>
      <c r="J184" s="77" t="n"/>
      <c r="K184" s="77" t="n"/>
      <c r="L184" s="77" t="n"/>
      <c r="M184" s="77" t="n"/>
      <c r="N184" s="74" t="n"/>
    </row>
    <row r="185" ht="11.25" customFormat="1" customHeight="1" s="118">
      <c r="A185" s="73" t="inlineStr">
        <is>
          <t>Trinidad</t>
        </is>
      </c>
      <c r="B185" s="74" t="n">
        <v>371</v>
      </c>
      <c r="C185" s="75" t="inlineStr">
        <is>
          <t>REP</t>
        </is>
      </c>
      <c r="D185" s="75" t="inlineStr">
        <is>
          <t>Reparación</t>
        </is>
      </c>
      <c r="E185" s="75" t="inlineStr">
        <is>
          <t>AG3</t>
        </is>
      </c>
      <c r="F185" s="76" t="n">
        <v>12</v>
      </c>
      <c r="G185" s="77" t="n"/>
      <c r="H185" s="77" t="n">
        <v>2.4</v>
      </c>
      <c r="I185" s="77" t="n"/>
      <c r="J185" s="77" t="n"/>
      <c r="K185" s="77" t="n"/>
      <c r="L185" s="77" t="n"/>
      <c r="M185" s="77" t="n"/>
      <c r="N185" s="74" t="n"/>
    </row>
    <row r="186" ht="11.25" customFormat="1" customHeight="1" s="118">
      <c r="A186" s="68" t="inlineStr">
        <is>
          <t>Hugo (741)</t>
        </is>
      </c>
      <c r="B186" s="69" t="n">
        <v>741</v>
      </c>
      <c r="C186" s="70" t="inlineStr">
        <is>
          <t>P-311</t>
        </is>
      </c>
      <c r="D186" s="70" t="inlineStr">
        <is>
          <t>Escalera</t>
        </is>
      </c>
      <c r="E186" s="70" t="inlineStr">
        <is>
          <t>DOL</t>
        </is>
      </c>
      <c r="F186" s="71" t="n">
        <v>13</v>
      </c>
      <c r="G186" s="72" t="n"/>
      <c r="H186" s="72" t="n">
        <v>2.2</v>
      </c>
      <c r="I186" s="72" t="n"/>
      <c r="J186" s="72" t="n"/>
      <c r="K186" s="72" t="n"/>
      <c r="L186" s="72" t="n"/>
      <c r="M186" s="72" t="n"/>
      <c r="N186" s="69" t="n"/>
    </row>
    <row r="187" ht="11.25" customFormat="1" customHeight="1" s="118">
      <c r="A187" s="68" t="inlineStr">
        <is>
          <t>Hugo (741)</t>
        </is>
      </c>
      <c r="B187" s="69" t="n">
        <v>741</v>
      </c>
      <c r="C187" s="70" t="inlineStr">
        <is>
          <t>F-023-F</t>
        </is>
      </c>
      <c r="D187" s="70" t="n"/>
      <c r="E187" s="70" t="inlineStr">
        <is>
          <t>AG3</t>
        </is>
      </c>
      <c r="F187" s="71" t="n"/>
      <c r="G187" s="72" t="n"/>
      <c r="H187" s="72" t="n"/>
      <c r="I187" s="72" t="n">
        <v>4.5</v>
      </c>
      <c r="J187" s="72" t="n">
        <v>7.5</v>
      </c>
      <c r="K187" s="72" t="n">
        <v>6.3</v>
      </c>
      <c r="L187" s="72" t="n"/>
      <c r="M187" s="72" t="n"/>
      <c r="N187" s="69" t="n"/>
    </row>
    <row r="188" ht="11.25" customFormat="1" customHeight="1" s="118">
      <c r="A188" s="68" t="inlineStr">
        <is>
          <t>Hugo (741)</t>
        </is>
      </c>
      <c r="B188" s="69" t="n">
        <v>741</v>
      </c>
      <c r="C188" s="70" t="inlineStr">
        <is>
          <t>P-311</t>
        </is>
      </c>
      <c r="D188" s="70" t="inlineStr">
        <is>
          <t>Escalera</t>
        </is>
      </c>
      <c r="E188" s="70" t="inlineStr">
        <is>
          <t>AG3</t>
        </is>
      </c>
      <c r="F188" s="71" t="n">
        <v>12</v>
      </c>
      <c r="G188" s="72" t="n">
        <v>4</v>
      </c>
      <c r="H188" s="72" t="n"/>
      <c r="I188" s="72" t="n">
        <v>1.6</v>
      </c>
      <c r="J188" s="72" t="n"/>
      <c r="K188" s="72" t="n"/>
      <c r="L188" s="72" t="n"/>
      <c r="M188" s="72" t="n"/>
      <c r="N188" s="69" t="n"/>
    </row>
    <row r="189" ht="11.25" customFormat="1" customHeight="1" s="118">
      <c r="A189" s="68" t="n"/>
      <c r="B189" s="69" t="n"/>
      <c r="C189" s="70" t="n"/>
      <c r="D189" s="70" t="n"/>
      <c r="E189" s="70" t="n"/>
      <c r="F189" s="71" t="n"/>
      <c r="G189" s="72" t="n"/>
      <c r="H189" s="72" t="n"/>
      <c r="I189" s="72" t="n"/>
      <c r="J189" s="72" t="n"/>
      <c r="K189" s="72" t="n"/>
      <c r="L189" s="72" t="n"/>
      <c r="M189" s="72" t="n"/>
      <c r="N189" s="69" t="n"/>
    </row>
    <row r="190" ht="11.25" customFormat="1" customHeight="1" s="118">
      <c r="A190" s="73" t="inlineStr">
        <is>
          <t>Angel (756)</t>
        </is>
      </c>
      <c r="B190" s="74" t="n">
        <v>756</v>
      </c>
      <c r="C190" s="75" t="n"/>
      <c r="D190" s="75" t="inlineStr">
        <is>
          <t>Pulsera</t>
        </is>
      </c>
      <c r="E190" s="75" t="inlineStr">
        <is>
          <t>AG3</t>
        </is>
      </c>
      <c r="F190" s="76" t="n">
        <v>12</v>
      </c>
      <c r="G190" s="77" t="n"/>
      <c r="H190" s="77" t="n"/>
      <c r="I190" s="77" t="n"/>
      <c r="J190" s="77" t="n">
        <v>1.5</v>
      </c>
      <c r="K190" s="77" t="n"/>
      <c r="L190" s="77" t="n"/>
      <c r="M190" s="77" t="n"/>
      <c r="N190" s="74" t="n"/>
    </row>
    <row r="191" ht="11.25" customFormat="1" customHeight="1" s="118">
      <c r="A191" s="73" t="inlineStr">
        <is>
          <t>Angel (756)</t>
        </is>
      </c>
      <c r="B191" s="74" t="n">
        <v>756</v>
      </c>
      <c r="C191" s="75" t="inlineStr">
        <is>
          <t>EXT</t>
        </is>
      </c>
      <c r="D191" s="75" t="inlineStr">
        <is>
          <t>Extensibles</t>
        </is>
      </c>
      <c r="E191" s="75" t="inlineStr">
        <is>
          <t>AG3</t>
        </is>
      </c>
      <c r="F191" s="76" t="n">
        <v>12</v>
      </c>
      <c r="G191" s="77" t="n"/>
      <c r="H191" s="77" t="n"/>
      <c r="I191" s="77" t="n">
        <v>2.3</v>
      </c>
      <c r="J191" s="77" t="n">
        <v>0.8</v>
      </c>
      <c r="K191" s="77" t="n">
        <v>0.7</v>
      </c>
      <c r="L191" s="77" t="n"/>
      <c r="M191" s="77" t="n"/>
      <c r="N191" s="74" t="n"/>
    </row>
    <row r="192" ht="11.25" customFormat="1" customHeight="1" s="118">
      <c r="A192" s="73" t="n"/>
      <c r="B192" s="74" t="n"/>
      <c r="C192" s="75" t="n"/>
      <c r="D192" s="75" t="n"/>
      <c r="E192" s="75" t="n"/>
      <c r="F192" s="76" t="n"/>
      <c r="G192" s="77" t="n"/>
      <c r="H192" s="77" t="n"/>
      <c r="I192" s="77" t="n"/>
      <c r="J192" s="77" t="n"/>
      <c r="K192" s="77" t="n"/>
      <c r="L192" s="77" t="n"/>
      <c r="M192" s="77" t="n"/>
      <c r="N192" s="74" t="n"/>
    </row>
    <row r="193" ht="11.25" customFormat="1" customHeight="1" s="118">
      <c r="A193" s="68" t="inlineStr">
        <is>
          <t>Alfredo (757)</t>
        </is>
      </c>
      <c r="B193" s="69" t="n">
        <v>757</v>
      </c>
      <c r="C193" s="70" t="inlineStr">
        <is>
          <t>F-019-W</t>
        </is>
      </c>
      <c r="D193" s="70" t="inlineStr">
        <is>
          <t>Versace</t>
        </is>
      </c>
      <c r="E193" s="70" t="inlineStr">
        <is>
          <t>AG3</t>
        </is>
      </c>
      <c r="F193" s="71" t="n">
        <v>12</v>
      </c>
      <c r="G193" s="72" t="n"/>
      <c r="H193" s="72" t="n"/>
      <c r="I193" s="72" t="n"/>
      <c r="J193" s="72" t="n"/>
      <c r="K193" s="72" t="n"/>
      <c r="L193" s="72" t="n"/>
      <c r="M193" s="72" t="n"/>
      <c r="N193" s="69" t="n"/>
    </row>
    <row r="194" ht="11.25" customFormat="1" customHeight="1" s="118">
      <c r="A194" s="68" t="n"/>
      <c r="B194" s="69" t="n"/>
      <c r="C194" s="70" t="n"/>
      <c r="D194" s="70" t="n"/>
      <c r="E194" s="70" t="n"/>
      <c r="F194" s="71" t="n"/>
      <c r="G194" s="72" t="n"/>
      <c r="H194" s="72" t="n"/>
      <c r="I194" s="72" t="n"/>
      <c r="J194" s="72" t="n"/>
      <c r="K194" s="72" t="n"/>
      <c r="L194" s="72" t="n"/>
      <c r="M194" s="72" t="n"/>
      <c r="N194" s="69" t="n"/>
    </row>
    <row r="195" ht="11.25" customFormat="1" customHeight="1" s="118">
      <c r="A195" s="63" t="inlineStr">
        <is>
          <t>Hector Melecio</t>
        </is>
      </c>
      <c r="B195" s="64" t="n">
        <v>852</v>
      </c>
      <c r="C195" s="65" t="inlineStr">
        <is>
          <t>F-019-5</t>
        </is>
      </c>
      <c r="D195" s="65" t="inlineStr">
        <is>
          <t>Versace</t>
        </is>
      </c>
      <c r="E195" s="65" t="inlineStr">
        <is>
          <t>AG3</t>
        </is>
      </c>
      <c r="F195" s="66" t="n">
        <v>12</v>
      </c>
      <c r="G195" s="67" t="n"/>
      <c r="H195" s="67" t="n"/>
      <c r="I195" s="67" t="n"/>
      <c r="J195" s="67" t="n"/>
      <c r="K195" s="67" t="n"/>
      <c r="L195" s="67" t="n"/>
      <c r="M195" s="67" t="n"/>
      <c r="N195" s="64" t="n"/>
    </row>
    <row r="196" ht="11.25" customFormat="1" customHeight="1" s="118">
      <c r="A196" s="63" t="n"/>
      <c r="B196" s="64" t="n"/>
      <c r="C196" s="65" t="n"/>
      <c r="D196" s="65" t="n"/>
      <c r="E196" s="65" t="n"/>
      <c r="F196" s="66" t="n"/>
      <c r="G196" s="67" t="n"/>
      <c r="H196" s="67" t="n"/>
      <c r="I196" s="67" t="n"/>
      <c r="J196" s="67" t="n"/>
      <c r="K196" s="67" t="n"/>
      <c r="L196" s="67" t="n"/>
      <c r="M196" s="67" t="n"/>
      <c r="N196" s="64" t="n"/>
    </row>
    <row r="197" ht="11.25" customFormat="1" customHeight="1" s="118">
      <c r="A197" s="68" t="inlineStr">
        <is>
          <t>Juan (515)</t>
        </is>
      </c>
      <c r="B197" s="69" t="n">
        <v>515</v>
      </c>
      <c r="C197" s="70" t="inlineStr">
        <is>
          <t>P-235</t>
        </is>
      </c>
      <c r="D197" s="70" t="inlineStr">
        <is>
          <t>Aros</t>
        </is>
      </c>
      <c r="E197" s="70" t="inlineStr">
        <is>
          <t>AG3</t>
        </is>
      </c>
      <c r="F197" s="71" t="n">
        <v>14</v>
      </c>
      <c r="G197" s="72" t="n">
        <v>8.1</v>
      </c>
      <c r="H197" s="72" t="n">
        <v>6.8</v>
      </c>
      <c r="I197" s="72" t="n">
        <v>7.4</v>
      </c>
      <c r="J197" s="72" t="n"/>
      <c r="K197" s="72" t="n"/>
      <c r="L197" s="72" t="n"/>
      <c r="M197" s="72" t="n"/>
      <c r="N197" s="69" t="n"/>
    </row>
    <row r="198" ht="11.25" customFormat="1" customHeight="1" s="118">
      <c r="A198" s="68" t="inlineStr">
        <is>
          <t>Juan (515)</t>
        </is>
      </c>
      <c r="B198" s="69" t="n">
        <v>515</v>
      </c>
      <c r="C198" s="70" t="inlineStr">
        <is>
          <t>F-024</t>
        </is>
      </c>
      <c r="D198" s="70" t="inlineStr">
        <is>
          <t>Flor Azteca</t>
        </is>
      </c>
      <c r="E198" s="70" t="inlineStr">
        <is>
          <t>AG3</t>
        </is>
      </c>
      <c r="F198" s="71" t="n">
        <v>12</v>
      </c>
      <c r="G198" s="72" t="n"/>
      <c r="H198" s="72" t="n"/>
      <c r="I198" s="72" t="n">
        <v>7.4</v>
      </c>
      <c r="J198" s="72" t="n">
        <v>14.4</v>
      </c>
      <c r="K198" s="72" t="n">
        <v>7.8</v>
      </c>
      <c r="L198" s="72" t="n"/>
      <c r="M198" s="72" t="n"/>
      <c r="N198" s="69" t="n"/>
    </row>
    <row r="199" ht="11.25" customFormat="1" customHeight="1" s="118">
      <c r="A199" s="68" t="inlineStr">
        <is>
          <t>Juan (515)</t>
        </is>
      </c>
      <c r="B199" s="69" t="n">
        <v>515</v>
      </c>
      <c r="C199" s="70" t="inlineStr">
        <is>
          <t>P-338</t>
        </is>
      </c>
      <c r="D199" s="70" t="inlineStr">
        <is>
          <t>Rombos</t>
        </is>
      </c>
      <c r="E199" s="70" t="inlineStr">
        <is>
          <t>AG3</t>
        </is>
      </c>
      <c r="F199" s="71" t="n">
        <v>12</v>
      </c>
      <c r="G199" s="72" t="n"/>
      <c r="H199" s="72" t="n"/>
      <c r="I199" s="72" t="n"/>
      <c r="J199" s="72" t="n">
        <v>3.3</v>
      </c>
      <c r="K199" s="72" t="n">
        <v>11.9</v>
      </c>
      <c r="L199" s="72" t="n"/>
      <c r="M199" s="72" t="n"/>
      <c r="N199" s="69" t="n"/>
    </row>
    <row r="200" ht="11.25" customFormat="1" customHeight="1" s="118">
      <c r="A200" s="68" t="inlineStr">
        <is>
          <t>Juan (515)</t>
        </is>
      </c>
      <c r="B200" s="69" t="n">
        <v>515</v>
      </c>
      <c r="C200" s="70" t="inlineStr">
        <is>
          <t>F-019-5</t>
        </is>
      </c>
      <c r="D200" s="70" t="inlineStr">
        <is>
          <t>Versace</t>
        </is>
      </c>
      <c r="E200" s="70" t="inlineStr">
        <is>
          <t>AG3</t>
        </is>
      </c>
      <c r="F200" s="71" t="n">
        <v>12</v>
      </c>
      <c r="G200" s="72" t="n"/>
      <c r="H200" s="72" t="n"/>
      <c r="I200" s="72" t="n"/>
      <c r="J200" s="72" t="n"/>
      <c r="K200" s="72" t="n"/>
      <c r="L200" s="72" t="n"/>
      <c r="M200" s="72" t="n"/>
      <c r="N200" s="69" t="n"/>
    </row>
    <row r="201" ht="11.25" customFormat="1" customHeight="1" s="118">
      <c r="A201" s="73" t="inlineStr">
        <is>
          <t>Noé (565)</t>
        </is>
      </c>
      <c r="B201" s="74" t="n">
        <v>565</v>
      </c>
      <c r="C201" s="75" t="inlineStr">
        <is>
          <t>F-023-F</t>
        </is>
      </c>
      <c r="D201" s="75" t="n"/>
      <c r="E201" s="75" t="inlineStr">
        <is>
          <t>AG3</t>
        </is>
      </c>
      <c r="F201" s="76" t="n">
        <v>12</v>
      </c>
      <c r="G201" s="77" t="n">
        <v>6.2</v>
      </c>
      <c r="H201" s="77" t="n"/>
      <c r="I201" s="77" t="n">
        <v>7.7</v>
      </c>
      <c r="J201" s="77" t="n">
        <v>3.8</v>
      </c>
      <c r="K201" s="77" t="n">
        <v>10.6</v>
      </c>
      <c r="L201" s="77" t="n"/>
      <c r="M201" s="77" t="n"/>
      <c r="N201" s="74" t="n"/>
    </row>
    <row r="202" ht="11.25" customFormat="1" customHeight="1" s="118">
      <c r="A202" s="73" t="inlineStr">
        <is>
          <t>Noé (565)</t>
        </is>
      </c>
      <c r="B202" s="74" t="n">
        <v>565</v>
      </c>
      <c r="C202" s="75" t="inlineStr">
        <is>
          <t>P-305</t>
        </is>
      </c>
      <c r="D202" s="75" t="inlineStr">
        <is>
          <t>Almanaque</t>
        </is>
      </c>
      <c r="E202" s="75" t="inlineStr">
        <is>
          <t>AG3</t>
        </is>
      </c>
      <c r="F202" s="76" t="n">
        <v>12</v>
      </c>
      <c r="G202" s="77" t="n">
        <v>5.5</v>
      </c>
      <c r="H202" s="77" t="n"/>
      <c r="I202" s="77" t="n"/>
      <c r="J202" s="77" t="n"/>
      <c r="K202" s="77" t="n"/>
      <c r="L202" s="77" t="n"/>
      <c r="M202" s="77" t="n"/>
      <c r="N202" s="74" t="n"/>
    </row>
    <row r="203" ht="11.25" customFormat="1" customHeight="1" s="118">
      <c r="A203" s="68" t="inlineStr">
        <is>
          <t>José Alberto</t>
        </is>
      </c>
      <c r="B203" s="69" t="n">
        <v>634</v>
      </c>
      <c r="C203" s="70" t="n"/>
      <c r="D203" s="70" t="inlineStr">
        <is>
          <t>Precilla</t>
        </is>
      </c>
      <c r="E203" s="70" t="inlineStr">
        <is>
          <t>AG3</t>
        </is>
      </c>
      <c r="F203" s="71" t="n">
        <v>12</v>
      </c>
      <c r="G203" s="72" t="n"/>
      <c r="H203" s="72" t="n"/>
      <c r="I203" s="72" t="n"/>
      <c r="J203" s="72" t="n"/>
      <c r="K203" s="72" t="n">
        <v>4.5</v>
      </c>
      <c r="L203" s="72" t="n"/>
      <c r="M203" s="72" t="n"/>
      <c r="N203" s="69" t="n"/>
    </row>
    <row r="204" ht="11.25" customFormat="1" customHeight="1" s="118">
      <c r="A204" s="73" t="inlineStr">
        <is>
          <t>José (644)</t>
        </is>
      </c>
      <c r="B204" s="74" t="n">
        <v>644</v>
      </c>
      <c r="C204" s="75" t="inlineStr">
        <is>
          <t>ST-211</t>
        </is>
      </c>
      <c r="D204" s="75" t="inlineStr">
        <is>
          <t>Cubos</t>
        </is>
      </c>
      <c r="E204" s="75" t="inlineStr">
        <is>
          <t>AG3</t>
        </is>
      </c>
      <c r="F204" s="76" t="n">
        <v>12</v>
      </c>
      <c r="G204" s="77" t="n">
        <v>6.7</v>
      </c>
      <c r="H204" s="77" t="n">
        <v>2.9</v>
      </c>
      <c r="I204" s="77" t="n"/>
      <c r="J204" s="77" t="n">
        <v>3.1</v>
      </c>
      <c r="K204" s="77" t="n">
        <v>7</v>
      </c>
      <c r="L204" s="77" t="n"/>
      <c r="M204" s="77" t="n"/>
      <c r="N204" s="74" t="n"/>
    </row>
    <row r="205" ht="11.25" customFormat="1" customHeight="1" s="118">
      <c r="A205" s="68" t="inlineStr">
        <is>
          <t>Oscar (737)</t>
        </is>
      </c>
      <c r="B205" s="69" t="n">
        <v>737</v>
      </c>
      <c r="C205" s="70" t="inlineStr">
        <is>
          <t>REP</t>
        </is>
      </c>
      <c r="D205" s="70" t="inlineStr">
        <is>
          <t>Reparación</t>
        </is>
      </c>
      <c r="E205" s="70" t="inlineStr">
        <is>
          <t>AG3</t>
        </is>
      </c>
      <c r="F205" s="71" t="n"/>
      <c r="G205" s="72" t="n"/>
      <c r="H205" s="72" t="n"/>
      <c r="I205" s="72" t="n"/>
      <c r="J205" s="72" t="n"/>
      <c r="K205" s="72" t="n"/>
      <c r="L205" s="72" t="n"/>
      <c r="M205" s="72" t="n"/>
      <c r="N205" s="69" t="n"/>
    </row>
    <row r="206" ht="11.25" customFormat="1" customHeight="1" s="118">
      <c r="A206" s="68" t="inlineStr">
        <is>
          <t>Oscar (737)</t>
        </is>
      </c>
      <c r="B206" s="69" t="n">
        <v>737</v>
      </c>
      <c r="C206" s="70" t="inlineStr">
        <is>
          <t>P-302</t>
        </is>
      </c>
      <c r="D206" s="70" t="inlineStr">
        <is>
          <t>Versace</t>
        </is>
      </c>
      <c r="E206" s="70" t="inlineStr">
        <is>
          <t>DOL</t>
        </is>
      </c>
      <c r="F206" s="71" t="n"/>
      <c r="G206" s="72" t="n"/>
      <c r="H206" s="72" t="n"/>
      <c r="I206" s="72" t="n"/>
      <c r="J206" s="72" t="n"/>
      <c r="K206" s="72" t="n"/>
      <c r="L206" s="72" t="n"/>
      <c r="M206" s="72" t="n"/>
      <c r="N206" s="69" t="n"/>
    </row>
    <row r="207" ht="11.25" customFormat="1" customHeight="1" s="118">
      <c r="A207" s="68" t="inlineStr">
        <is>
          <t>Oscar (737)</t>
        </is>
      </c>
      <c r="B207" s="69" t="n">
        <v>737</v>
      </c>
      <c r="C207" s="70" t="inlineStr">
        <is>
          <t>P-310</t>
        </is>
      </c>
      <c r="D207" s="70" t="inlineStr">
        <is>
          <t>Diamante</t>
        </is>
      </c>
      <c r="E207" s="70" t="inlineStr">
        <is>
          <t>AG3</t>
        </is>
      </c>
      <c r="F207" s="71" t="n"/>
      <c r="G207" s="72" t="n"/>
      <c r="H207" s="72" t="n"/>
      <c r="I207" s="72" t="n"/>
      <c r="J207" s="72" t="n"/>
      <c r="K207" s="72" t="n"/>
      <c r="L207" s="72" t="n"/>
      <c r="M207" s="72" t="n"/>
      <c r="N207" s="69" t="n"/>
    </row>
    <row r="208" ht="11.25" customFormat="1" customHeight="1" s="118">
      <c r="A208" s="68" t="inlineStr">
        <is>
          <t>Oscar (737)</t>
        </is>
      </c>
      <c r="B208" s="69" t="n">
        <v>737</v>
      </c>
      <c r="C208" s="70" t="inlineStr">
        <is>
          <t>P-310</t>
        </is>
      </c>
      <c r="D208" s="70" t="inlineStr">
        <is>
          <t>Diamante</t>
        </is>
      </c>
      <c r="E208" s="70" t="inlineStr">
        <is>
          <t>DOL</t>
        </is>
      </c>
      <c r="F208" s="71" t="n"/>
      <c r="G208" s="72" t="n"/>
      <c r="H208" s="72" t="n"/>
      <c r="I208" s="72" t="n"/>
      <c r="J208" s="72" t="n"/>
      <c r="K208" s="72" t="n"/>
      <c r="L208" s="72" t="n"/>
      <c r="M208" s="72" t="n"/>
      <c r="N208" s="69" t="n"/>
    </row>
    <row r="209" ht="11.25" customFormat="1" customHeight="1" s="118">
      <c r="A209" s="73" t="inlineStr">
        <is>
          <t>José (216)</t>
        </is>
      </c>
      <c r="B209" s="74" t="n">
        <v>216</v>
      </c>
      <c r="C209" s="75" t="inlineStr">
        <is>
          <t>F-019-4</t>
        </is>
      </c>
      <c r="D209" s="75" t="inlineStr">
        <is>
          <t>Rombo V</t>
        </is>
      </c>
      <c r="E209" s="75" t="inlineStr">
        <is>
          <t>AG3</t>
        </is>
      </c>
      <c r="F209" s="76" t="n">
        <v>12</v>
      </c>
      <c r="G209" s="77" t="n"/>
      <c r="H209" s="77" t="n"/>
      <c r="I209" s="77" t="n"/>
      <c r="J209" s="77" t="n"/>
      <c r="K209" s="77" t="n"/>
      <c r="L209" s="77" t="n"/>
      <c r="M209" s="77" t="n"/>
      <c r="N209" s="74" t="n"/>
    </row>
    <row r="210" ht="11.25" customFormat="1" customHeight="1" s="118">
      <c r="A210" s="68" t="inlineStr">
        <is>
          <t>José Antonio</t>
        </is>
      </c>
      <c r="B210" s="69" t="n">
        <v>315</v>
      </c>
      <c r="C210" s="70" t="inlineStr">
        <is>
          <t>ST-190</t>
        </is>
      </c>
      <c r="D210" s="70" t="inlineStr">
        <is>
          <t>Cubos</t>
        </is>
      </c>
      <c r="E210" s="70" t="inlineStr">
        <is>
          <t>AG3</t>
        </is>
      </c>
      <c r="F210" s="71" t="n">
        <v>12</v>
      </c>
      <c r="G210" s="72" t="n"/>
      <c r="H210" s="72" t="n"/>
      <c r="I210" s="72" t="n"/>
      <c r="J210" s="72" t="n"/>
      <c r="K210" s="72" t="n"/>
      <c r="L210" s="72" t="n"/>
      <c r="M210" s="72" t="n"/>
      <c r="N210" s="69" t="n"/>
    </row>
    <row r="211" ht="11.25" customFormat="1" customHeight="1" s="118">
      <c r="A211" s="68" t="inlineStr">
        <is>
          <t>Antonio</t>
        </is>
      </c>
      <c r="B211" s="69" t="n">
        <v>315</v>
      </c>
      <c r="C211" s="70" t="inlineStr">
        <is>
          <t>ST-214</t>
        </is>
      </c>
      <c r="D211" s="70" t="inlineStr">
        <is>
          <t>Secuencia</t>
        </is>
      </c>
      <c r="E211" s="70" t="inlineStr">
        <is>
          <t>AG3</t>
        </is>
      </c>
      <c r="F211" s="71" t="n">
        <v>12</v>
      </c>
      <c r="G211" s="72" t="n"/>
      <c r="H211" s="72" t="n"/>
      <c r="I211" s="72" t="n"/>
      <c r="J211" s="72" t="n"/>
      <c r="K211" s="72" t="n"/>
      <c r="L211" s="72" t="n"/>
      <c r="M211" s="72" t="n"/>
      <c r="N211" s="69" t="n"/>
    </row>
    <row r="212" ht="11.25" customFormat="1" customHeight="1" s="118">
      <c r="A212" s="73" t="inlineStr">
        <is>
          <t>Carlos (335)</t>
        </is>
      </c>
      <c r="B212" s="74" t="n">
        <v>335</v>
      </c>
      <c r="C212" s="75" t="inlineStr">
        <is>
          <t>ST-217</t>
        </is>
      </c>
      <c r="D212" s="75" t="inlineStr">
        <is>
          <t>Secuencia</t>
        </is>
      </c>
      <c r="E212" s="75" t="inlineStr">
        <is>
          <t>AG3</t>
        </is>
      </c>
      <c r="F212" s="76" t="n">
        <v>12</v>
      </c>
      <c r="G212" s="77" t="n">
        <v>11.7</v>
      </c>
      <c r="H212" s="77" t="n">
        <v>8.4</v>
      </c>
      <c r="I212" s="77" t="n">
        <v>3.2</v>
      </c>
      <c r="J212" s="77" t="n">
        <v>10.7</v>
      </c>
      <c r="K212" s="77" t="n">
        <v>3.7</v>
      </c>
      <c r="L212" s="77" t="n"/>
      <c r="M212" s="77" t="n"/>
      <c r="N212" s="74" t="n"/>
    </row>
    <row r="213" ht="11.25" customFormat="1" customHeight="1" s="118">
      <c r="A213" s="73" t="inlineStr">
        <is>
          <t>Carlos (335)</t>
        </is>
      </c>
      <c r="B213" s="74" t="n">
        <v>335</v>
      </c>
      <c r="C213" s="75" t="inlineStr">
        <is>
          <t>F-019-11</t>
        </is>
      </c>
      <c r="D213" s="75" t="inlineStr">
        <is>
          <t>Infinito</t>
        </is>
      </c>
      <c r="E213" s="75" t="inlineStr">
        <is>
          <t>AG3</t>
        </is>
      </c>
      <c r="F213" s="76" t="n">
        <v>12</v>
      </c>
      <c r="G213" s="77" t="n"/>
      <c r="H213" s="77" t="n"/>
      <c r="I213" s="77" t="n"/>
      <c r="J213" s="77" t="n"/>
      <c r="K213" s="77" t="n"/>
      <c r="L213" s="77" t="n"/>
      <c r="M213" s="77" t="n"/>
      <c r="N213" s="74" t="n"/>
    </row>
    <row r="214" ht="11.25" customFormat="1" customHeight="1" s="118">
      <c r="A214" s="68" t="inlineStr">
        <is>
          <t>Gerónimo Cruz</t>
        </is>
      </c>
      <c r="B214" s="69" t="n">
        <v>455</v>
      </c>
      <c r="C214" s="70" t="inlineStr">
        <is>
          <t>F019-1</t>
        </is>
      </c>
      <c r="D214" s="70" t="inlineStr">
        <is>
          <t>Diamante</t>
        </is>
      </c>
      <c r="E214" s="70" t="inlineStr">
        <is>
          <t>AG3</t>
        </is>
      </c>
      <c r="F214" s="71" t="n">
        <v>12</v>
      </c>
      <c r="G214" s="72" t="n"/>
      <c r="H214" s="72" t="n"/>
      <c r="I214" s="72" t="n"/>
      <c r="J214" s="72" t="n"/>
      <c r="K214" s="72" t="n"/>
      <c r="L214" s="72" t="n"/>
      <c r="M214" s="72" t="n"/>
      <c r="N214" s="69" t="n"/>
    </row>
    <row r="215" ht="11.25" customFormat="1" customHeight="1" s="118">
      <c r="A215" s="68" t="inlineStr">
        <is>
          <t>Gerónimo Cruz</t>
        </is>
      </c>
      <c r="B215" s="69" t="n">
        <v>455</v>
      </c>
      <c r="C215" s="70" t="inlineStr">
        <is>
          <t>P-215</t>
        </is>
      </c>
      <c r="D215" s="70" t="inlineStr">
        <is>
          <t>Mil Hojas</t>
        </is>
      </c>
      <c r="E215" s="70" t="inlineStr">
        <is>
          <t>AG3</t>
        </is>
      </c>
      <c r="F215" s="71" t="n">
        <v>15</v>
      </c>
      <c r="G215" s="72" t="n">
        <v>3.7</v>
      </c>
      <c r="H215" s="72" t="n">
        <v>6.8</v>
      </c>
      <c r="I215" s="72" t="n">
        <v>3.3</v>
      </c>
      <c r="J215" s="72" t="n">
        <v>6.7</v>
      </c>
      <c r="K215" s="72" t="n">
        <v>6.7</v>
      </c>
      <c r="L215" s="72" t="n"/>
      <c r="M215" s="72" t="n"/>
      <c r="N215" s="69" t="n"/>
    </row>
    <row r="216" ht="11.25" customFormat="1" customHeight="1" s="118">
      <c r="A216" s="73" t="inlineStr">
        <is>
          <t>Luis (474)</t>
        </is>
      </c>
      <c r="B216" s="74" t="n">
        <v>474</v>
      </c>
      <c r="C216" s="75" t="inlineStr">
        <is>
          <t>P-321</t>
        </is>
      </c>
      <c r="D216" s="75" t="inlineStr">
        <is>
          <t>Grecas</t>
        </is>
      </c>
      <c r="E216" s="75" t="inlineStr">
        <is>
          <t>AG3</t>
        </is>
      </c>
      <c r="F216" s="76" t="n">
        <v>12</v>
      </c>
      <c r="G216" s="77" t="n">
        <v>8.5</v>
      </c>
      <c r="H216" s="77" t="n">
        <v>3.8</v>
      </c>
      <c r="I216" s="77" t="n"/>
      <c r="J216" s="77" t="n">
        <v>3</v>
      </c>
      <c r="K216" s="77" t="n">
        <v>3</v>
      </c>
      <c r="L216" s="77" t="n"/>
      <c r="M216" s="77" t="n"/>
      <c r="N216" s="74" t="n"/>
    </row>
    <row r="217" ht="11.25" customFormat="1" customHeight="1" s="118">
      <c r="A217" s="68" t="inlineStr">
        <is>
          <t>Salvador (622)</t>
        </is>
      </c>
      <c r="B217" s="69" t="n">
        <v>622</v>
      </c>
      <c r="C217" s="70" t="inlineStr">
        <is>
          <t>ST-219</t>
        </is>
      </c>
      <c r="D217" s="70" t="inlineStr">
        <is>
          <t>Centellas</t>
        </is>
      </c>
      <c r="E217" s="70" t="inlineStr">
        <is>
          <t>AG3</t>
        </is>
      </c>
      <c r="F217" s="71" t="n">
        <v>12</v>
      </c>
      <c r="G217" s="72" t="n">
        <v>2.3</v>
      </c>
      <c r="H217" s="72" t="n">
        <v>0.5</v>
      </c>
      <c r="I217" s="72" t="n"/>
      <c r="J217" s="72" t="n"/>
      <c r="K217" s="72" t="n"/>
      <c r="L217" s="72" t="n"/>
      <c r="M217" s="72" t="n"/>
      <c r="N217" s="69" t="n"/>
    </row>
    <row r="218" ht="11.25" customFormat="1" customHeight="1" s="118">
      <c r="A218" s="68" t="n"/>
      <c r="B218" s="69" t="n"/>
      <c r="C218" s="70" t="n"/>
      <c r="D218" s="70" t="n"/>
      <c r="E218" s="70" t="n"/>
      <c r="F218" s="71" t="n"/>
      <c r="G218" s="72" t="n"/>
      <c r="H218" s="72" t="n"/>
      <c r="I218" s="72" t="n"/>
      <c r="J218" s="72" t="n"/>
      <c r="K218" s="72" t="n"/>
      <c r="L218" s="72" t="n"/>
      <c r="M218" s="72" t="n"/>
      <c r="N218" s="69" t="n"/>
    </row>
    <row r="219" ht="11.25" customFormat="1" customHeight="1" s="118">
      <c r="A219" s="68" t="n"/>
      <c r="B219" s="69" t="n"/>
      <c r="C219" s="70" t="n"/>
      <c r="D219" s="70" t="n"/>
      <c r="E219" s="70" t="n"/>
      <c r="F219" s="71" t="n"/>
      <c r="G219" s="72" t="n"/>
      <c r="H219" s="72" t="n"/>
      <c r="I219" s="72" t="n"/>
      <c r="J219" s="72" t="n"/>
      <c r="K219" s="72" t="n"/>
      <c r="L219" s="72" t="n"/>
      <c r="M219" s="72" t="n"/>
      <c r="N219" s="69" t="n"/>
    </row>
    <row r="220" ht="11.25" customFormat="1" customHeight="1" s="118">
      <c r="A220" s="36" t="n"/>
      <c r="B220" s="35" t="n"/>
      <c r="C220" s="37" t="n"/>
      <c r="D220" s="37" t="n"/>
      <c r="E220" s="37" t="n"/>
      <c r="F220" s="57" t="n"/>
      <c r="G220" s="58" t="n"/>
      <c r="H220" s="58" t="n"/>
      <c r="I220" s="58" t="n"/>
      <c r="J220" s="58" t="n"/>
      <c r="K220" s="58" t="n"/>
      <c r="L220" s="58" t="n"/>
      <c r="M220" s="58" t="n"/>
      <c r="N220" s="35" t="n"/>
    </row>
    <row r="221" ht="11.25" customFormat="1" customHeight="1" s="118">
      <c r="A221" s="36" t="n"/>
      <c r="B221" s="35" t="n"/>
      <c r="C221" s="37" t="n"/>
      <c r="D221" s="37" t="n"/>
      <c r="E221" s="37" t="n"/>
      <c r="F221" s="57" t="n"/>
      <c r="G221" s="58" t="n"/>
      <c r="H221" s="58" t="n"/>
      <c r="I221" s="58" t="n"/>
      <c r="J221" s="58" t="n"/>
      <c r="K221" s="58" t="n"/>
      <c r="L221" s="58" t="n"/>
      <c r="M221" s="58" t="n"/>
      <c r="N221" s="35" t="n"/>
    </row>
    <row r="222" ht="11.25" customFormat="1" customHeight="1" s="118">
      <c r="F222" s="128" t="n"/>
      <c r="G222" s="128" t="n"/>
      <c r="H222" s="128" t="n"/>
      <c r="I222" s="128" t="n"/>
      <c r="J222" s="128" t="n"/>
      <c r="K222" s="128" t="n"/>
      <c r="L222" s="128" t="n"/>
      <c r="M222" s="128" t="n"/>
    </row>
    <row r="223" ht="11.25" customFormat="1" customHeight="1" s="118">
      <c r="A223" s="117" t="inlineStr">
        <is>
          <t>Filas de color = trabajadores actuales. Filas GRISES = espacio para nuevos trabajadores (escribe Nombre + Ubic en la primera fila del grupo de 3). Solo llena esta hoja.</t>
        </is>
      </c>
    </row>
    <row r="224" ht="11.25" customFormat="1" customHeight="1" s="118"/>
    <row r="225" ht="11.25" customFormat="1" customHeight="1" s="118">
      <c r="A225" s="54" t="inlineStr">
        <is>
          <t>Los ceros no se muestran en gramos ni tarifas. Deja la celda vacía si no hay movimiento ese día.</t>
        </is>
      </c>
    </row>
    <row r="226" ht="11.25" customFormat="1" customHeight="1" s="118"/>
    <row r="227" ht="11.25" customFormat="1" customHeight="1" s="118"/>
    <row r="228" ht="11.25" customFormat="1" customHeight="1" s="118"/>
    <row r="229" ht="11.25" customFormat="1" customHeight="1" s="118"/>
    <row r="230" ht="11.25" customFormat="1" customHeight="1" s="118"/>
    <row r="231" ht="11.25" customFormat="1" customHeight="1" s="118"/>
    <row r="232" ht="11.25" customFormat="1" customHeight="1" s="118"/>
    <row r="233" ht="11.25" customFormat="1" customHeight="1" s="118"/>
    <row r="234" ht="11.25" customFormat="1" customHeight="1" s="118"/>
    <row r="235" ht="11.25" customFormat="1" customHeight="1" s="118"/>
    <row r="236" ht="11.25" customFormat="1" customHeight="1" s="118"/>
    <row r="237" ht="11.25" customFormat="1" customHeight="1" s="118"/>
    <row r="238" ht="11.25" customFormat="1" customHeight="1" s="118"/>
    <row r="239" ht="11.25" customFormat="1" customHeight="1" s="118"/>
    <row r="240" ht="11.25" customFormat="1" customHeight="1" s="118"/>
    <row r="241" ht="11.25" customFormat="1" customHeight="1" s="118"/>
    <row r="242" ht="11.25" customFormat="1" customHeight="1" s="118"/>
    <row r="243" ht="11.25" customFormat="1" customHeight="1" s="118"/>
    <row r="244" ht="11.25" customFormat="1" customHeight="1" s="118"/>
    <row r="245" ht="11.25" customFormat="1" customHeight="1" s="118"/>
    <row r="246" ht="11.25" customFormat="1" customHeight="1" s="118"/>
    <row r="247" ht="11.25" customFormat="1" customHeight="1" s="118"/>
    <row r="248" ht="11.25" customFormat="1" customHeight="1" s="118"/>
    <row r="249" ht="11.25" customFormat="1" customHeight="1" s="118"/>
    <row r="250" ht="11.25" customFormat="1" customHeight="1" s="118"/>
    <row r="251" ht="11.25" customFormat="1" customHeight="1" s="118"/>
    <row r="252" ht="11.25" customFormat="1" customHeight="1" s="118"/>
    <row r="253" ht="11.25" customFormat="1" customHeight="1" s="118"/>
    <row r="254" ht="11.25" customFormat="1" customHeight="1" s="118"/>
    <row r="255" ht="11.25" customFormat="1" customHeight="1" s="118"/>
    <row r="256" ht="11.25" customFormat="1" customHeight="1" s="118"/>
    <row r="257" ht="11.25" customFormat="1" customHeight="1" s="118"/>
    <row r="258" ht="11.25" customFormat="1" customHeight="1" s="118"/>
    <row r="259" ht="11.25" customFormat="1" customHeight="1" s="118"/>
    <row r="260" ht="11.25" customFormat="1" customHeight="1" s="118"/>
    <row r="261" ht="11.25" customFormat="1" customHeight="1" s="118"/>
    <row r="262" ht="11.25" customFormat="1" customHeight="1" s="118"/>
    <row r="263" ht="11.25" customFormat="1" customHeight="1" s="118"/>
    <row r="264" ht="11.25" customFormat="1" customHeight="1" s="118"/>
    <row r="265" ht="11.25" customFormat="1" customHeight="1" s="118"/>
    <row r="266" ht="11.25" customFormat="1" customHeight="1" s="118"/>
    <row r="267" ht="11.25" customFormat="1" customHeight="1" s="118"/>
  </sheetData>
  <mergeCells count="7">
    <mergeCell ref="A223:N223"/>
    <mergeCell ref="B3:C3"/>
    <mergeCell ref="J3:M3"/>
    <mergeCell ref="A2:N2"/>
    <mergeCell ref="G3:I3"/>
    <mergeCell ref="D3:E3"/>
    <mergeCell ref="A1:N1"/>
  </mergeCells>
  <dataValidations count="2">
    <dataValidation sqref="E6:E221" showDropDown="0" showInputMessage="0" showErrorMessage="0" allowBlank="1" type="list">
      <formula1>"AG3,AG4,DOL,DLO"</formula1>
    </dataValidation>
    <dataValidation sqref="F6:F221" showDropDown="0" showInputMessage="0" showErrorMessage="0" allowBlank="1" type="list">
      <formula1>"12,13,14,15,16,17"</formula1>
    </dataValidation>
  </dataValidations>
  <pageMargins left="0.35" right="0.35" top="0.4" bottom="0.4" header="0.5" footer="0.5"/>
  <pageSetup orientation="landscape" fitToHeight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16"/>
  <sheetViews>
    <sheetView workbookViewId="0">
      <pane ySplit="5" topLeftCell="A6" activePane="bottomLeft" state="frozen"/>
      <selection pane="bottomLeft" activeCell="A2" sqref="A2:P2"/>
    </sheetView>
  </sheetViews>
  <sheetFormatPr baseColWidth="10" defaultColWidth="9.140625" defaultRowHeight="15"/>
  <cols>
    <col width="22" customWidth="1" style="116" min="1" max="1"/>
    <col width="4.140625" bestFit="1" customWidth="1" style="116" min="2" max="2"/>
    <col width="7.28515625" bestFit="1" customWidth="1" style="116" min="3" max="3"/>
    <col width="14" customWidth="1" style="116" min="4" max="4"/>
    <col width="7" bestFit="1" customWidth="1" style="116" min="5" max="5"/>
    <col width="6.85546875" bestFit="1" customWidth="1" style="116" min="6" max="6"/>
    <col width="4.42578125" customWidth="1" style="116" min="7" max="13"/>
    <col width="6.7109375" bestFit="1" customWidth="1" style="116" min="14" max="14"/>
    <col width="8.85546875" bestFit="1" customWidth="1" style="116" min="15" max="15"/>
    <col width="19.28515625" bestFit="1" customWidth="1" style="116" min="16" max="16"/>
  </cols>
  <sheetData>
    <row r="1" ht="18.75" customHeight="1" s="116">
      <c r="A1" s="125" t="inlineStr">
        <is>
          <t>Taller de Fajos Central — NÓMINA SEMANAL PARA PAGO (PLATA)</t>
        </is>
      </c>
    </row>
    <row r="2">
      <c r="A2" s="126" t="inlineStr">
        <is>
          <t>Semana: 16 - 22    Mes: Agosto    Año: 2026    |    Datos = Nomina-Imprimir (sin vacíos)    |    Orden: Ubic → Nombre    |    Color = Material</t>
        </is>
      </c>
    </row>
    <row r="3">
      <c r="A3" s="3" t="inlineStr">
        <is>
          <t>Leyenda material:</t>
        </is>
      </c>
      <c r="B3" s="81" t="inlineStr">
        <is>
          <t>AG3</t>
        </is>
      </c>
      <c r="C3" s="82" t="inlineStr">
        <is>
          <t>AG4</t>
        </is>
      </c>
      <c r="D3" s="83" t="inlineStr">
        <is>
          <t>DOL</t>
        </is>
      </c>
      <c r="E3" s="84" t="inlineStr">
        <is>
          <t>DLO</t>
        </is>
      </c>
      <c r="F3" s="85" t="inlineStr">
        <is>
          <t>Otro</t>
        </is>
      </c>
    </row>
    <row r="4">
      <c r="A4" s="86" t="inlineStr">
        <is>
          <t>Filas de pago: 109  (solo líneas con folio/modelo/gramos de Nomina-Imprimir)</t>
        </is>
      </c>
    </row>
    <row r="5" ht="27.95" customHeight="1" s="116">
      <c r="A5" s="87" t="inlineStr">
        <is>
          <t>Nombre</t>
        </is>
      </c>
      <c r="B5" s="87" t="inlineStr">
        <is>
          <t>Ubic</t>
        </is>
      </c>
      <c r="C5" s="87" t="inlineStr">
        <is>
          <t>Folio</t>
        </is>
      </c>
      <c r="D5" s="87" t="inlineStr">
        <is>
          <t>Modelo</t>
        </is>
      </c>
      <c r="E5" s="87" t="inlineStr">
        <is>
          <t>Material</t>
        </is>
      </c>
      <c r="F5" s="87" t="inlineStr">
        <is>
          <t>$/Gr</t>
        </is>
      </c>
      <c r="G5" s="87" t="inlineStr">
        <is>
          <t>Sáb</t>
        </is>
      </c>
      <c r="H5" s="87" t="inlineStr">
        <is>
          <t>Dom</t>
        </is>
      </c>
      <c r="I5" s="87" t="inlineStr">
        <is>
          <t>Lun</t>
        </is>
      </c>
      <c r="J5" s="87" t="inlineStr">
        <is>
          <t>Mar</t>
        </is>
      </c>
      <c r="K5" s="87" t="inlineStr">
        <is>
          <t>Mié</t>
        </is>
      </c>
      <c r="L5" s="87" t="inlineStr">
        <is>
          <t>Jue</t>
        </is>
      </c>
      <c r="M5" s="87" t="inlineStr">
        <is>
          <t>Vie</t>
        </is>
      </c>
      <c r="N5" s="87" t="inlineStr">
        <is>
          <t>Total Gr</t>
        </is>
      </c>
      <c r="O5" s="87" t="inlineStr">
        <is>
          <t>Efectivo</t>
        </is>
      </c>
      <c r="P5" s="87" t="inlineStr">
        <is>
          <t>Firma</t>
        </is>
      </c>
    </row>
    <row r="6">
      <c r="A6" s="88" t="inlineStr">
        <is>
          <t>José (216)</t>
        </is>
      </c>
      <c r="B6" s="89" t="n">
        <v>216</v>
      </c>
      <c r="C6" s="89" t="inlineStr">
        <is>
          <t>F-019-4</t>
        </is>
      </c>
      <c r="D6" s="89" t="inlineStr">
        <is>
          <t>Rombo V</t>
        </is>
      </c>
      <c r="E6" s="89" t="inlineStr">
        <is>
          <t>AG3</t>
        </is>
      </c>
      <c r="F6" s="111" t="n">
        <v>12</v>
      </c>
      <c r="G6" s="129" t="n"/>
      <c r="H6" s="129" t="n"/>
      <c r="I6" s="129" t="n"/>
      <c r="J6" s="129" t="n"/>
      <c r="K6" s="129" t="n"/>
      <c r="L6" s="129" t="n"/>
      <c r="M6" s="129" t="n"/>
      <c r="N6" s="130">
        <f>IF(SUM(G6:M6)=0,"",SUM(G6:M6))</f>
        <v/>
      </c>
      <c r="O6" s="131">
        <f>IF(OR(F6="",N6="",N6=0),"",ROUND(F6*N6,2))</f>
        <v/>
      </c>
      <c r="P6" s="93" t="n"/>
    </row>
    <row r="7">
      <c r="A7" s="88" t="inlineStr">
        <is>
          <t>Mario</t>
        </is>
      </c>
      <c r="B7" s="89" t="n">
        <v>257</v>
      </c>
      <c r="C7" s="89" t="inlineStr">
        <is>
          <t>ST-0576</t>
        </is>
      </c>
      <c r="D7" s="89" t="inlineStr">
        <is>
          <t>Secuencia</t>
        </is>
      </c>
      <c r="E7" s="89" t="inlineStr">
        <is>
          <t>AG3</t>
        </is>
      </c>
      <c r="F7" s="111" t="n">
        <v>12</v>
      </c>
      <c r="G7" s="129" t="n">
        <v>3.7</v>
      </c>
      <c r="H7" s="129" t="n">
        <v>4.7</v>
      </c>
      <c r="I7" s="129" t="n"/>
      <c r="J7" s="129" t="n"/>
      <c r="K7" s="129" t="n"/>
      <c r="L7" s="129" t="n"/>
      <c r="M7" s="129" t="n"/>
      <c r="N7" s="130">
        <f>IF(SUM(G7:M7)=0,"",SUM(G7:M7))</f>
        <v/>
      </c>
      <c r="O7" s="131">
        <f>IF(OR(F7="",N7="",N7=0),"",ROUND(F7*N7,2))</f>
        <v/>
      </c>
      <c r="P7" s="93" t="n"/>
    </row>
    <row r="8">
      <c r="A8" s="88" t="inlineStr">
        <is>
          <t>Octavio (264)</t>
        </is>
      </c>
      <c r="B8" s="89" t="n">
        <v>264</v>
      </c>
      <c r="C8" s="89" t="inlineStr">
        <is>
          <t>F-019-X</t>
        </is>
      </c>
      <c r="D8" s="89" t="inlineStr">
        <is>
          <t>Guia</t>
        </is>
      </c>
      <c r="E8" s="89" t="inlineStr">
        <is>
          <t>AG3</t>
        </is>
      </c>
      <c r="F8" s="111" t="n">
        <v>12</v>
      </c>
      <c r="G8" s="129" t="n"/>
      <c r="H8" s="129" t="n"/>
      <c r="I8" s="129" t="n">
        <v>4.5</v>
      </c>
      <c r="J8" s="129" t="n"/>
      <c r="K8" s="129" t="n"/>
      <c r="L8" s="129" t="n"/>
      <c r="M8" s="129" t="n"/>
      <c r="N8" s="130">
        <f>IF(SUM(G8:M8)=0,"",SUM(G8:M8))</f>
        <v/>
      </c>
      <c r="O8" s="131">
        <f>IF(OR(F8="",N8="",N8=0),"",ROUND(F8*N8,2))</f>
        <v/>
      </c>
      <c r="P8" s="93" t="n"/>
    </row>
    <row r="9">
      <c r="A9" s="88" t="inlineStr">
        <is>
          <t>Octavio (264)</t>
        </is>
      </c>
      <c r="B9" s="89" t="n">
        <v>264</v>
      </c>
      <c r="C9" s="89" t="inlineStr">
        <is>
          <t>PT-328</t>
        </is>
      </c>
      <c r="D9" s="89" t="inlineStr">
        <is>
          <t>Secuencia</t>
        </is>
      </c>
      <c r="E9" s="89" t="inlineStr">
        <is>
          <t>AG3</t>
        </is>
      </c>
      <c r="F9" s="111" t="n">
        <v>12</v>
      </c>
      <c r="G9" s="129" t="n">
        <v>8.300000000000001</v>
      </c>
      <c r="H9" s="129" t="n">
        <v>1.9</v>
      </c>
      <c r="I9" s="129" t="n"/>
      <c r="J9" s="129" t="n"/>
      <c r="K9" s="129" t="n"/>
      <c r="L9" s="129" t="n"/>
      <c r="M9" s="129" t="n"/>
      <c r="N9" s="130">
        <f>IF(SUM(G9:M9)=0,"",SUM(G9:M9))</f>
        <v/>
      </c>
      <c r="O9" s="131">
        <f>IF(OR(F9="",N9="",N9=0),"",ROUND(F9*N9,2))</f>
        <v/>
      </c>
      <c r="P9" s="93" t="n"/>
    </row>
    <row r="10">
      <c r="A10" s="88" t="inlineStr">
        <is>
          <t>Octavio (264)</t>
        </is>
      </c>
      <c r="B10" s="89" t="n">
        <v>264</v>
      </c>
      <c r="C10" s="89" t="inlineStr">
        <is>
          <t>PT-338</t>
        </is>
      </c>
      <c r="D10" s="89" t="inlineStr">
        <is>
          <t>Rombos</t>
        </is>
      </c>
      <c r="E10" s="89" t="inlineStr">
        <is>
          <t>AG3</t>
        </is>
      </c>
      <c r="F10" s="111" t="n">
        <v>12</v>
      </c>
      <c r="G10" s="129" t="n"/>
      <c r="H10" s="129" t="n">
        <v>4.9</v>
      </c>
      <c r="I10" s="129" t="n">
        <v>8.300000000000001</v>
      </c>
      <c r="J10" s="129" t="n"/>
      <c r="K10" s="129" t="n"/>
      <c r="L10" s="129" t="n"/>
      <c r="M10" s="129" t="n"/>
      <c r="N10" s="130">
        <f>IF(SUM(G10:M10)=0,"",SUM(G10:M10))</f>
        <v/>
      </c>
      <c r="O10" s="131">
        <f>IF(OR(F10="",N10="",N10=0),"",ROUND(F10*N10,2))</f>
        <v/>
      </c>
      <c r="P10" s="93" t="n"/>
    </row>
    <row r="11">
      <c r="A11" s="88" t="inlineStr">
        <is>
          <t>Antonio</t>
        </is>
      </c>
      <c r="B11" s="89" t="n">
        <v>315</v>
      </c>
      <c r="C11" s="89" t="inlineStr">
        <is>
          <t>ST-214</t>
        </is>
      </c>
      <c r="D11" s="89" t="inlineStr">
        <is>
          <t>Secuencia</t>
        </is>
      </c>
      <c r="E11" s="89" t="inlineStr">
        <is>
          <t>AG3</t>
        </is>
      </c>
      <c r="F11" s="111" t="n">
        <v>12</v>
      </c>
      <c r="G11" s="129" t="n"/>
      <c r="H11" s="129" t="n"/>
      <c r="I11" s="129" t="n"/>
      <c r="J11" s="129" t="n"/>
      <c r="K11" s="129" t="n"/>
      <c r="L11" s="129" t="n"/>
      <c r="M11" s="129" t="n"/>
      <c r="N11" s="130">
        <f>IF(SUM(G11:M11)=0,"",SUM(G11:M11))</f>
        <v/>
      </c>
      <c r="O11" s="131">
        <f>IF(OR(F11="",N11="",N11=0),"",ROUND(F11*N11,2))</f>
        <v/>
      </c>
      <c r="P11" s="93" t="n"/>
    </row>
    <row r="12">
      <c r="A12" s="88" t="inlineStr">
        <is>
          <t>José Antonio</t>
        </is>
      </c>
      <c r="B12" s="89" t="n">
        <v>315</v>
      </c>
      <c r="C12" s="89" t="inlineStr">
        <is>
          <t>ST-190</t>
        </is>
      </c>
      <c r="D12" s="89" t="inlineStr">
        <is>
          <t>Cubos</t>
        </is>
      </c>
      <c r="E12" s="89" t="inlineStr">
        <is>
          <t>AG3</t>
        </is>
      </c>
      <c r="F12" s="111" t="n">
        <v>12</v>
      </c>
      <c r="G12" s="129" t="n"/>
      <c r="H12" s="129" t="n"/>
      <c r="I12" s="129" t="n"/>
      <c r="J12" s="129" t="n"/>
      <c r="K12" s="129" t="n"/>
      <c r="L12" s="129" t="n"/>
      <c r="M12" s="129" t="n"/>
      <c r="N12" s="130">
        <f>IF(SUM(G12:M12)=0,"",SUM(G12:M12))</f>
        <v/>
      </c>
      <c r="O12" s="131">
        <f>IF(OR(F12="",N12="",N12=0),"",ROUND(F12*N12,2))</f>
        <v/>
      </c>
      <c r="P12" s="93" t="n"/>
    </row>
    <row r="13">
      <c r="A13" s="88" t="inlineStr">
        <is>
          <t>Cristian (332)</t>
        </is>
      </c>
      <c r="B13" s="89" t="n">
        <v>332</v>
      </c>
      <c r="C13" s="89" t="inlineStr">
        <is>
          <t>ST-149</t>
        </is>
      </c>
      <c r="D13" s="89" t="inlineStr">
        <is>
          <t>Centella</t>
        </is>
      </c>
      <c r="E13" s="89" t="inlineStr">
        <is>
          <t>AG3</t>
        </is>
      </c>
      <c r="F13" s="111" t="n">
        <v>12</v>
      </c>
      <c r="G13" s="129" t="n">
        <v>3</v>
      </c>
      <c r="H13" s="129" t="n">
        <v>3.7</v>
      </c>
      <c r="I13" s="129" t="n">
        <v>3.2</v>
      </c>
      <c r="J13" s="129" t="n"/>
      <c r="K13" s="129" t="n"/>
      <c r="L13" s="129" t="n"/>
      <c r="M13" s="129" t="n"/>
      <c r="N13" s="130">
        <f>IF(SUM(G13:M13)=0,"",SUM(G13:M13))</f>
        <v/>
      </c>
      <c r="O13" s="131">
        <f>IF(OR(F13="",N13="",N13=0),"",ROUND(F13*N13,2))</f>
        <v/>
      </c>
      <c r="P13" s="93" t="n"/>
    </row>
    <row r="14">
      <c r="A14" s="88" t="inlineStr">
        <is>
          <t>Carlos (335)</t>
        </is>
      </c>
      <c r="B14" s="89" t="n">
        <v>335</v>
      </c>
      <c r="C14" s="89" t="inlineStr">
        <is>
          <t>F-019-11</t>
        </is>
      </c>
      <c r="D14" s="89" t="inlineStr">
        <is>
          <t>Infinito</t>
        </is>
      </c>
      <c r="E14" s="89" t="inlineStr">
        <is>
          <t>AG3</t>
        </is>
      </c>
      <c r="F14" s="111" t="n">
        <v>12</v>
      </c>
      <c r="G14" s="129" t="n"/>
      <c r="H14" s="129" t="n"/>
      <c r="I14" s="129" t="n"/>
      <c r="J14" s="129" t="n"/>
      <c r="K14" s="129" t="n"/>
      <c r="L14" s="129" t="n"/>
      <c r="M14" s="129" t="n"/>
      <c r="N14" s="130">
        <f>IF(SUM(G14:M14)=0,"",SUM(G14:M14))</f>
        <v/>
      </c>
      <c r="O14" s="131">
        <f>IF(OR(F14="",N14="",N14=0),"",ROUND(F14*N14,2))</f>
        <v/>
      </c>
      <c r="P14" s="93" t="n"/>
    </row>
    <row r="15">
      <c r="A15" s="88" t="inlineStr">
        <is>
          <t>Carlos (335)</t>
        </is>
      </c>
      <c r="B15" s="89" t="n">
        <v>335</v>
      </c>
      <c r="C15" s="89" t="inlineStr">
        <is>
          <t>ST-217</t>
        </is>
      </c>
      <c r="D15" s="89" t="inlineStr">
        <is>
          <t>Secuencia</t>
        </is>
      </c>
      <c r="E15" s="89" t="inlineStr">
        <is>
          <t>AG3</t>
        </is>
      </c>
      <c r="F15" s="111" t="n">
        <v>12</v>
      </c>
      <c r="G15" s="129" t="n">
        <v>11.7</v>
      </c>
      <c r="H15" s="129" t="n">
        <v>8.4</v>
      </c>
      <c r="I15" s="129" t="n">
        <v>3.2</v>
      </c>
      <c r="J15" s="129" t="n"/>
      <c r="K15" s="129" t="n"/>
      <c r="L15" s="129" t="n"/>
      <c r="M15" s="129" t="n"/>
      <c r="N15" s="130">
        <f>IF(SUM(G15:M15)=0,"",SUM(G15:M15))</f>
        <v/>
      </c>
      <c r="O15" s="131">
        <f>IF(OR(F15="",N15="",N15=0),"",ROUND(F15*N15,2))</f>
        <v/>
      </c>
      <c r="P15" s="93" t="n"/>
    </row>
    <row r="16">
      <c r="A16" s="88" t="inlineStr">
        <is>
          <t>Eduardo Siordia</t>
        </is>
      </c>
      <c r="B16" s="89" t="n">
        <v>337</v>
      </c>
      <c r="C16" s="89" t="inlineStr">
        <is>
          <t>ST-222</t>
        </is>
      </c>
      <c r="D16" s="89" t="inlineStr">
        <is>
          <t>Centellas</t>
        </is>
      </c>
      <c r="E16" s="89" t="inlineStr">
        <is>
          <t>AG3</t>
        </is>
      </c>
      <c r="F16" s="111" t="n">
        <v>12</v>
      </c>
      <c r="G16" s="129" t="n">
        <v>9.800000000000001</v>
      </c>
      <c r="H16" s="129" t="n">
        <v>4.5</v>
      </c>
      <c r="I16" s="129" t="n"/>
      <c r="J16" s="129" t="n"/>
      <c r="K16" s="129" t="n"/>
      <c r="L16" s="129" t="n"/>
      <c r="M16" s="129" t="n"/>
      <c r="N16" s="130">
        <f>IF(SUM(G16:M16)=0,"",SUM(G16:M16))</f>
        <v/>
      </c>
      <c r="O16" s="131">
        <f>IF(OR(F16="",N16="",N16=0),"",ROUND(F16*N16,2))</f>
        <v/>
      </c>
      <c r="P16" s="93" t="n"/>
    </row>
    <row r="17">
      <c r="A17" s="94" t="inlineStr">
        <is>
          <t>Hector</t>
        </is>
      </c>
      <c r="B17" s="95" t="n">
        <v>337</v>
      </c>
      <c r="C17" s="95" t="inlineStr">
        <is>
          <t>F-019-3</t>
        </is>
      </c>
      <c r="D17" s="95" t="n"/>
      <c r="E17" s="95" t="n"/>
      <c r="F17" s="112" t="n"/>
      <c r="G17" s="132" t="n"/>
      <c r="H17" s="132" t="n"/>
      <c r="I17" s="132" t="n"/>
      <c r="J17" s="132" t="n"/>
      <c r="K17" s="132" t="n"/>
      <c r="L17" s="132" t="n"/>
      <c r="M17" s="132" t="n"/>
      <c r="N17" s="133">
        <f>IF(SUM(G17:M17)=0,"",SUM(G17:M17))</f>
        <v/>
      </c>
      <c r="O17" s="134">
        <f>IF(OR(F17="",N17="",N17=0),"",ROUND(F17*N17,2))</f>
        <v/>
      </c>
      <c r="P17" s="99" t="n"/>
    </row>
    <row r="18">
      <c r="A18" s="88" t="inlineStr">
        <is>
          <t>Héctor Miranda</t>
        </is>
      </c>
      <c r="B18" s="89" t="n">
        <v>337</v>
      </c>
      <c r="C18" s="89" t="inlineStr">
        <is>
          <t>F-010</t>
        </is>
      </c>
      <c r="D18" s="89" t="inlineStr">
        <is>
          <t>Aros</t>
        </is>
      </c>
      <c r="E18" s="89" t="inlineStr">
        <is>
          <t>AG3</t>
        </is>
      </c>
      <c r="F18" s="111" t="n">
        <v>14</v>
      </c>
      <c r="G18" s="129" t="n"/>
      <c r="H18" s="129" t="n"/>
      <c r="I18" s="129" t="n"/>
      <c r="J18" s="129" t="n"/>
      <c r="K18" s="129" t="n"/>
      <c r="L18" s="129" t="n"/>
      <c r="M18" s="129" t="n"/>
      <c r="N18" s="130">
        <f>IF(SUM(G18:M18)=0,"",SUM(G18:M18))</f>
        <v/>
      </c>
      <c r="O18" s="131">
        <f>IF(OR(F18="",N18="",N18=0),"",ROUND(F18*N18,2))</f>
        <v/>
      </c>
      <c r="P18" s="93" t="n"/>
    </row>
    <row r="19">
      <c r="A19" s="88" t="inlineStr">
        <is>
          <t>Héctor Miranda</t>
        </is>
      </c>
      <c r="B19" s="89" t="n">
        <v>337</v>
      </c>
      <c r="C19" s="89" t="inlineStr">
        <is>
          <t>F-019-3</t>
        </is>
      </c>
      <c r="D19" s="89" t="inlineStr">
        <is>
          <t>Mil Cruces</t>
        </is>
      </c>
      <c r="E19" s="89" t="inlineStr">
        <is>
          <t>AG3</t>
        </is>
      </c>
      <c r="F19" s="111" t="n">
        <v>16</v>
      </c>
      <c r="G19" s="129" t="n"/>
      <c r="H19" s="129" t="n"/>
      <c r="I19" s="129" t="n"/>
      <c r="J19" s="129" t="n"/>
      <c r="K19" s="129" t="n"/>
      <c r="L19" s="129" t="n"/>
      <c r="M19" s="129" t="n"/>
      <c r="N19" s="130">
        <f>IF(SUM(G19:M19)=0,"",SUM(G19:M19))</f>
        <v/>
      </c>
      <c r="O19" s="131">
        <f>IF(OR(F19="",N19="",N19=0),"",ROUND(F19*N19,2))</f>
        <v/>
      </c>
      <c r="P19" s="93" t="n"/>
    </row>
    <row r="20">
      <c r="A20" s="88" t="inlineStr">
        <is>
          <t>Everardo Muñoz</t>
        </is>
      </c>
      <c r="B20" s="89" t="n">
        <v>344</v>
      </c>
      <c r="C20" s="89" t="inlineStr">
        <is>
          <t>F-19-S</t>
        </is>
      </c>
      <c r="D20" s="89" t="inlineStr">
        <is>
          <t>Infinito</t>
        </is>
      </c>
      <c r="E20" s="89" t="inlineStr">
        <is>
          <t>AG3</t>
        </is>
      </c>
      <c r="F20" s="111" t="n">
        <v>12</v>
      </c>
      <c r="G20" s="129" t="n"/>
      <c r="H20" s="129" t="n"/>
      <c r="I20" s="129" t="n"/>
      <c r="J20" s="129" t="n"/>
      <c r="K20" s="129" t="n"/>
      <c r="L20" s="129" t="n"/>
      <c r="M20" s="129" t="n"/>
      <c r="N20" s="130">
        <f>IF(SUM(G20:M20)=0,"",SUM(G20:M20))</f>
        <v/>
      </c>
      <c r="O20" s="131">
        <f>IF(OR(F20="",N20="",N20=0),"",ROUND(F20*N20,2))</f>
        <v/>
      </c>
      <c r="P20" s="93" t="n"/>
    </row>
    <row r="21">
      <c r="A21" s="88" t="inlineStr">
        <is>
          <t>Everardo Muñoz</t>
        </is>
      </c>
      <c r="B21" s="89" t="n">
        <v>344</v>
      </c>
      <c r="C21" s="89" t="inlineStr">
        <is>
          <t>P-332</t>
        </is>
      </c>
      <c r="D21" s="89" t="inlineStr">
        <is>
          <t>Cadena</t>
        </is>
      </c>
      <c r="E21" s="89" t="inlineStr">
        <is>
          <t>AG3</t>
        </is>
      </c>
      <c r="F21" s="111" t="n">
        <v>12</v>
      </c>
      <c r="G21" s="129" t="n"/>
      <c r="H21" s="129" t="n">
        <v>4.1</v>
      </c>
      <c r="I21" s="129" t="n"/>
      <c r="J21" s="129" t="n"/>
      <c r="K21" s="129" t="n"/>
      <c r="L21" s="129" t="n"/>
      <c r="M21" s="129" t="n"/>
      <c r="N21" s="130">
        <f>IF(SUM(G21:M21)=0,"",SUM(G21:M21))</f>
        <v/>
      </c>
      <c r="O21" s="131">
        <f>IF(OR(F21="",N21="",N21=0),"",ROUND(F21*N21,2))</f>
        <v/>
      </c>
      <c r="P21" s="93" t="n"/>
    </row>
    <row r="22">
      <c r="A22" s="88" t="inlineStr">
        <is>
          <t>Óscar Carranza</t>
        </is>
      </c>
      <c r="B22" s="89" t="n">
        <v>353</v>
      </c>
      <c r="C22" s="89" t="inlineStr">
        <is>
          <t>P-333</t>
        </is>
      </c>
      <c r="D22" s="89" t="inlineStr">
        <is>
          <t>Mil Hojas</t>
        </is>
      </c>
      <c r="E22" s="89" t="inlineStr">
        <is>
          <t>AG3</t>
        </is>
      </c>
      <c r="F22" s="111" t="n">
        <v>16</v>
      </c>
      <c r="G22" s="129" t="n">
        <v>4.5</v>
      </c>
      <c r="H22" s="129" t="n">
        <v>4.4</v>
      </c>
      <c r="I22" s="129" t="n">
        <v>4.6</v>
      </c>
      <c r="J22" s="129" t="n"/>
      <c r="K22" s="129" t="n"/>
      <c r="L22" s="129" t="n"/>
      <c r="M22" s="129" t="n"/>
      <c r="N22" s="130">
        <f>IF(SUM(G22:M22)=0,"",SUM(G22:M22))</f>
        <v/>
      </c>
      <c r="O22" s="131">
        <f>IF(OR(F22="",N22="",N22=0),"",ROUND(F22*N22,2))</f>
        <v/>
      </c>
      <c r="P22" s="93" t="n"/>
    </row>
    <row r="23">
      <c r="A23" s="88" t="inlineStr">
        <is>
          <t>Hugo Noé</t>
        </is>
      </c>
      <c r="B23" s="89" t="n">
        <v>355</v>
      </c>
      <c r="C23" s="89" t="inlineStr">
        <is>
          <t>P-261</t>
        </is>
      </c>
      <c r="D23" s="89" t="inlineStr">
        <is>
          <t>Metralleta</t>
        </is>
      </c>
      <c r="E23" s="89" t="inlineStr">
        <is>
          <t>AG3</t>
        </is>
      </c>
      <c r="F23" s="111" t="n">
        <v>12</v>
      </c>
      <c r="G23" s="129" t="n"/>
      <c r="H23" s="129" t="n">
        <v>5.3</v>
      </c>
      <c r="I23" s="129" t="n"/>
      <c r="J23" s="129" t="n"/>
      <c r="K23" s="129" t="n"/>
      <c r="L23" s="129" t="n"/>
      <c r="M23" s="129" t="n"/>
      <c r="N23" s="130">
        <f>IF(SUM(G23:M23)=0,"",SUM(G23:M23))</f>
        <v/>
      </c>
      <c r="O23" s="131">
        <f>IF(OR(F23="",N23="",N23=0),"",ROUND(F23*N23,2))</f>
        <v/>
      </c>
      <c r="P23" s="93" t="n"/>
    </row>
    <row r="24">
      <c r="A24" s="88" t="inlineStr">
        <is>
          <t>Hugo Alejandro</t>
        </is>
      </c>
      <c r="B24" s="89" t="n">
        <v>366</v>
      </c>
      <c r="C24" s="89" t="inlineStr">
        <is>
          <t>F-023-A</t>
        </is>
      </c>
      <c r="D24" s="89" t="inlineStr">
        <is>
          <t>Centellas</t>
        </is>
      </c>
      <c r="E24" s="89" t="inlineStr">
        <is>
          <t>AG3</t>
        </is>
      </c>
      <c r="F24" s="111" t="n">
        <v>12</v>
      </c>
      <c r="G24" s="129" t="n">
        <v>7.8</v>
      </c>
      <c r="H24" s="129" t="n">
        <v>4.6</v>
      </c>
      <c r="I24" s="129" t="n">
        <v>7.3</v>
      </c>
      <c r="J24" s="129" t="n"/>
      <c r="K24" s="129" t="n"/>
      <c r="L24" s="129" t="n"/>
      <c r="M24" s="129" t="n"/>
      <c r="N24" s="130">
        <f>IF(SUM(G24:M24)=0,"",SUM(G24:M24))</f>
        <v/>
      </c>
      <c r="O24" s="131">
        <f>IF(OR(F24="",N24="",N24=0),"",ROUND(F24*N24,2))</f>
        <v/>
      </c>
      <c r="P24" s="93" t="n"/>
    </row>
    <row r="25">
      <c r="A25" s="88" t="inlineStr">
        <is>
          <t>Trinidad</t>
        </is>
      </c>
      <c r="B25" s="89" t="n">
        <v>371</v>
      </c>
      <c r="C25" s="89" t="inlineStr">
        <is>
          <t>F-023-A</t>
        </is>
      </c>
      <c r="D25" s="89" t="inlineStr">
        <is>
          <t>Costura</t>
        </is>
      </c>
      <c r="E25" s="89" t="inlineStr">
        <is>
          <t>AG3</t>
        </is>
      </c>
      <c r="F25" s="111" t="n">
        <v>12</v>
      </c>
      <c r="G25" s="129" t="n">
        <v>3.6</v>
      </c>
      <c r="H25" s="129" t="n"/>
      <c r="I25" s="129" t="n"/>
      <c r="J25" s="129" t="n"/>
      <c r="K25" s="129" t="n"/>
      <c r="L25" s="129" t="n"/>
      <c r="M25" s="129" t="n"/>
      <c r="N25" s="130">
        <f>IF(SUM(G25:M25)=0,"",SUM(G25:M25))</f>
        <v/>
      </c>
      <c r="O25" s="131">
        <f>IF(OR(F25="",N25="",N25=0),"",ROUND(F25*N25,2))</f>
        <v/>
      </c>
      <c r="P25" s="93" t="n"/>
    </row>
    <row r="26">
      <c r="A26" s="88" t="inlineStr">
        <is>
          <t>Trinidad</t>
        </is>
      </c>
      <c r="B26" s="89" t="n">
        <v>371</v>
      </c>
      <c r="C26" s="89" t="inlineStr">
        <is>
          <t>REP</t>
        </is>
      </c>
      <c r="D26" s="89" t="inlineStr">
        <is>
          <t>Reparación</t>
        </is>
      </c>
      <c r="E26" s="89" t="inlineStr">
        <is>
          <t>AG3</t>
        </is>
      </c>
      <c r="F26" s="111" t="n">
        <v>12</v>
      </c>
      <c r="G26" s="129" t="n"/>
      <c r="H26" s="129" t="n">
        <v>2.4</v>
      </c>
      <c r="I26" s="129" t="n"/>
      <c r="J26" s="129" t="n"/>
      <c r="K26" s="129" t="n"/>
      <c r="L26" s="129" t="n"/>
      <c r="M26" s="129" t="n"/>
      <c r="N26" s="130">
        <f>IF(SUM(G26:M26)=0,"",SUM(G26:M26))</f>
        <v/>
      </c>
      <c r="O26" s="131">
        <f>IF(OR(F26="",N26="",N26=0),"",ROUND(F26*N26,2))</f>
        <v/>
      </c>
      <c r="P26" s="93" t="n"/>
    </row>
    <row r="27">
      <c r="A27" s="88" t="inlineStr">
        <is>
          <t>Antonio</t>
        </is>
      </c>
      <c r="B27" s="89" t="n">
        <v>372</v>
      </c>
      <c r="C27" s="89" t="inlineStr">
        <is>
          <t>ST-208</t>
        </is>
      </c>
      <c r="D27" s="89" t="inlineStr">
        <is>
          <t>Centellas</t>
        </is>
      </c>
      <c r="E27" s="89" t="inlineStr">
        <is>
          <t>AG3</t>
        </is>
      </c>
      <c r="F27" s="111" t="n">
        <v>12</v>
      </c>
      <c r="G27" s="129" t="n"/>
      <c r="H27" s="129" t="n"/>
      <c r="I27" s="129" t="n"/>
      <c r="J27" s="129" t="n"/>
      <c r="K27" s="129" t="n"/>
      <c r="L27" s="129" t="n"/>
      <c r="M27" s="129" t="n"/>
      <c r="N27" s="130">
        <f>IF(SUM(G27:M27)=0,"",SUM(G27:M27))</f>
        <v/>
      </c>
      <c r="O27" s="131">
        <f>IF(OR(F27="",N27="",N27=0),"",ROUND(F27*N27,2))</f>
        <v/>
      </c>
      <c r="P27" s="93" t="n"/>
    </row>
    <row r="28">
      <c r="A28" s="88" t="inlineStr">
        <is>
          <t>José Martínez</t>
        </is>
      </c>
      <c r="B28" s="89" t="n">
        <v>372</v>
      </c>
      <c r="C28" s="89" t="inlineStr">
        <is>
          <t>P-296-A</t>
        </is>
      </c>
      <c r="D28" s="89" t="inlineStr">
        <is>
          <t>Guia</t>
        </is>
      </c>
      <c r="E28" s="89" t="inlineStr">
        <is>
          <t>AG3</t>
        </is>
      </c>
      <c r="F28" s="111" t="n">
        <v>12</v>
      </c>
      <c r="G28" s="129" t="n"/>
      <c r="H28" s="129" t="n"/>
      <c r="I28" s="129" t="n"/>
      <c r="J28" s="129" t="n"/>
      <c r="K28" s="129" t="n"/>
      <c r="L28" s="129" t="n"/>
      <c r="M28" s="129" t="n"/>
      <c r="N28" s="130">
        <f>IF(SUM(G28:M28)=0,"",SUM(G28:M28))</f>
        <v/>
      </c>
      <c r="O28" s="131">
        <f>IF(OR(F28="",N28="",N28=0),"",ROUND(F28*N28,2))</f>
        <v/>
      </c>
      <c r="P28" s="93" t="n"/>
    </row>
    <row r="29">
      <c r="A29" s="88" t="inlineStr">
        <is>
          <t>José Martínez</t>
        </is>
      </c>
      <c r="B29" s="89" t="n">
        <v>372</v>
      </c>
      <c r="C29" s="89" t="inlineStr">
        <is>
          <t>P-326</t>
        </is>
      </c>
      <c r="D29" s="89" t="inlineStr">
        <is>
          <t>Petatillo</t>
        </is>
      </c>
      <c r="E29" s="89" t="inlineStr">
        <is>
          <t>AG3</t>
        </is>
      </c>
      <c r="F29" s="111" t="n">
        <v>12</v>
      </c>
      <c r="G29" s="129" t="n"/>
      <c r="H29" s="129" t="n"/>
      <c r="I29" s="129" t="n"/>
      <c r="J29" s="129" t="n"/>
      <c r="K29" s="129" t="n"/>
      <c r="L29" s="129" t="n"/>
      <c r="M29" s="129" t="n"/>
      <c r="N29" s="130">
        <f>IF(SUM(G29:M29)=0,"",SUM(G29:M29))</f>
        <v/>
      </c>
      <c r="O29" s="131">
        <f>IF(OR(F29="",N29="",N29=0),"",ROUND(F29*N29,2))</f>
        <v/>
      </c>
      <c r="P29" s="93" t="n"/>
    </row>
    <row r="30">
      <c r="A30" s="88" t="inlineStr">
        <is>
          <t>José Martínez</t>
        </is>
      </c>
      <c r="B30" s="89" t="n">
        <v>372</v>
      </c>
      <c r="C30" s="89" t="inlineStr">
        <is>
          <t>REP</t>
        </is>
      </c>
      <c r="D30" s="89" t="inlineStr">
        <is>
          <t>Reparación</t>
        </is>
      </c>
      <c r="E30" s="89" t="inlineStr">
        <is>
          <t>AG3</t>
        </is>
      </c>
      <c r="F30" s="111" t="n">
        <v>13</v>
      </c>
      <c r="G30" s="129" t="n"/>
      <c r="H30" s="129" t="n"/>
      <c r="I30" s="129" t="n"/>
      <c r="J30" s="129" t="n"/>
      <c r="K30" s="129" t="n"/>
      <c r="L30" s="129" t="n"/>
      <c r="M30" s="129" t="n"/>
      <c r="N30" s="130">
        <f>IF(SUM(G30:M30)=0,"",SUM(G30:M30))</f>
        <v/>
      </c>
      <c r="O30" s="131">
        <f>IF(OR(F30="",N30="",N30=0),"",ROUND(F30*N30,2))</f>
        <v/>
      </c>
      <c r="P30" s="93" t="n"/>
    </row>
    <row r="31">
      <c r="A31" s="88" t="inlineStr">
        <is>
          <t>José Martínez</t>
        </is>
      </c>
      <c r="B31" s="89" t="n">
        <v>372</v>
      </c>
      <c r="C31" s="89" t="inlineStr">
        <is>
          <t>ST-228</t>
        </is>
      </c>
      <c r="D31" s="89" t="inlineStr">
        <is>
          <t>Flor Azteca</t>
        </is>
      </c>
      <c r="E31" s="89" t="inlineStr">
        <is>
          <t>AG3</t>
        </is>
      </c>
      <c r="F31" s="111" t="n">
        <v>12</v>
      </c>
      <c r="G31" s="129" t="n">
        <v>12</v>
      </c>
      <c r="H31" s="129" t="n">
        <v>4.5</v>
      </c>
      <c r="I31" s="129" t="n">
        <v>3.8</v>
      </c>
      <c r="J31" s="129" t="n"/>
      <c r="K31" s="129" t="n"/>
      <c r="L31" s="129" t="n"/>
      <c r="M31" s="129" t="n"/>
      <c r="N31" s="130">
        <f>IF(SUM(G31:M31)=0,"",SUM(G31:M31))</f>
        <v/>
      </c>
      <c r="O31" s="131">
        <f>IF(OR(F31="",N31="",N31=0),"",ROUND(F31*N31,2))</f>
        <v/>
      </c>
      <c r="P31" s="93" t="n"/>
    </row>
    <row r="32">
      <c r="A32" s="88" t="inlineStr">
        <is>
          <t>Edgar</t>
        </is>
      </c>
      <c r="B32" s="89" t="n">
        <v>381</v>
      </c>
      <c r="C32" s="89" t="inlineStr">
        <is>
          <t>P-339</t>
        </is>
      </c>
      <c r="D32" s="89" t="inlineStr">
        <is>
          <t>Rambo IV</t>
        </is>
      </c>
      <c r="E32" s="89" t="inlineStr">
        <is>
          <t>AG3</t>
        </is>
      </c>
      <c r="F32" s="111" t="n">
        <v>12</v>
      </c>
      <c r="G32" s="129" t="n"/>
      <c r="H32" s="129" t="n">
        <v>4.2</v>
      </c>
      <c r="I32" s="129" t="n"/>
      <c r="J32" s="129" t="n"/>
      <c r="K32" s="129" t="n"/>
      <c r="L32" s="129" t="n"/>
      <c r="M32" s="129" t="n"/>
      <c r="N32" s="130">
        <f>IF(SUM(G32:M32)=0,"",SUM(G32:M32))</f>
        <v/>
      </c>
      <c r="O32" s="131">
        <f>IF(OR(F32="",N32="",N32=0),"",ROUND(F32*N32,2))</f>
        <v/>
      </c>
      <c r="P32" s="93" t="n"/>
    </row>
    <row r="33">
      <c r="A33" s="88" t="inlineStr">
        <is>
          <t>Edgar</t>
        </is>
      </c>
      <c r="B33" s="89" t="n">
        <v>381</v>
      </c>
      <c r="C33" s="89" t="inlineStr">
        <is>
          <t>ST-213</t>
        </is>
      </c>
      <c r="D33" s="89" t="inlineStr">
        <is>
          <t>Secuencia</t>
        </is>
      </c>
      <c r="E33" s="89" t="inlineStr">
        <is>
          <t>AG3</t>
        </is>
      </c>
      <c r="F33" s="111" t="n">
        <v>12</v>
      </c>
      <c r="G33" s="129" t="n">
        <v>8.800000000000001</v>
      </c>
      <c r="H33" s="129" t="n">
        <v>1.7</v>
      </c>
      <c r="I33" s="129" t="n"/>
      <c r="J33" s="129" t="n"/>
      <c r="K33" s="129" t="n"/>
      <c r="L33" s="129" t="n"/>
      <c r="M33" s="129" t="n"/>
      <c r="N33" s="130">
        <f>IF(SUM(G33:M33)=0,"",SUM(G33:M33))</f>
        <v/>
      </c>
      <c r="O33" s="131">
        <f>IF(OR(F33="",N33="",N33=0),"",ROUND(F33*N33,2))</f>
        <v/>
      </c>
      <c r="P33" s="93" t="n"/>
    </row>
    <row r="34">
      <c r="A34" s="88" t="inlineStr">
        <is>
          <t>José Luis Vela</t>
        </is>
      </c>
      <c r="B34" s="89" t="n">
        <v>428</v>
      </c>
      <c r="C34" s="89" t="inlineStr">
        <is>
          <t>P-236</t>
        </is>
      </c>
      <c r="D34" s="89" t="inlineStr">
        <is>
          <t>Mil Cruces</t>
        </is>
      </c>
      <c r="E34" s="89" t="inlineStr">
        <is>
          <t>AG3</t>
        </is>
      </c>
      <c r="F34" s="111" t="n">
        <v>16</v>
      </c>
      <c r="G34" s="129" t="n">
        <v>7.6</v>
      </c>
      <c r="H34" s="129" t="n"/>
      <c r="I34" s="129" t="n">
        <v>3.7</v>
      </c>
      <c r="J34" s="129" t="n"/>
      <c r="K34" s="129" t="n"/>
      <c r="L34" s="129" t="n"/>
      <c r="M34" s="129" t="n"/>
      <c r="N34" s="130">
        <f>IF(SUM(G34:M34)=0,"",SUM(G34:M34))</f>
        <v/>
      </c>
      <c r="O34" s="131">
        <f>IF(OR(F34="",N34="",N34=0),"",ROUND(F34*N34,2))</f>
        <v/>
      </c>
      <c r="P34" s="93" t="n"/>
    </row>
    <row r="35">
      <c r="A35" s="88" t="inlineStr">
        <is>
          <t>Vicente Yahir Domínguez</t>
        </is>
      </c>
      <c r="B35" s="89" t="n">
        <v>428</v>
      </c>
      <c r="C35" s="89" t="inlineStr">
        <is>
          <t>ST-197</t>
        </is>
      </c>
      <c r="D35" s="89" t="inlineStr">
        <is>
          <t>Cubos</t>
        </is>
      </c>
      <c r="E35" s="89" t="inlineStr">
        <is>
          <t>AG3</t>
        </is>
      </c>
      <c r="F35" s="111" t="n">
        <v>12</v>
      </c>
      <c r="G35" s="129" t="n"/>
      <c r="H35" s="129" t="n">
        <v>1</v>
      </c>
      <c r="I35" s="129" t="n">
        <v>3.6</v>
      </c>
      <c r="J35" s="129" t="n"/>
      <c r="K35" s="129" t="n"/>
      <c r="L35" s="129" t="n"/>
      <c r="M35" s="129" t="n"/>
      <c r="N35" s="130">
        <f>IF(SUM(G35:M35)=0,"",SUM(G35:M35))</f>
        <v/>
      </c>
      <c r="O35" s="131">
        <f>IF(OR(F35="",N35="",N35=0),"",ROUND(F35*N35,2))</f>
        <v/>
      </c>
      <c r="P35" s="93" t="n"/>
    </row>
    <row r="36">
      <c r="A36" s="88" t="inlineStr">
        <is>
          <t>Jesús</t>
        </is>
      </c>
      <c r="B36" s="89" t="n">
        <v>437</v>
      </c>
      <c r="C36" s="89" t="inlineStr">
        <is>
          <t>F-019-5</t>
        </is>
      </c>
      <c r="D36" s="89" t="inlineStr">
        <is>
          <t>Infinito</t>
        </is>
      </c>
      <c r="E36" s="89" t="inlineStr">
        <is>
          <t>AG3</t>
        </is>
      </c>
      <c r="F36" s="111" t="n">
        <v>12</v>
      </c>
      <c r="G36" s="129" t="n"/>
      <c r="H36" s="129" t="n"/>
      <c r="I36" s="129" t="n"/>
      <c r="J36" s="129" t="n"/>
      <c r="K36" s="129" t="n"/>
      <c r="L36" s="129" t="n"/>
      <c r="M36" s="129" t="n"/>
      <c r="N36" s="130">
        <f>IF(SUM(G36:M36)=0,"",SUM(G36:M36))</f>
        <v/>
      </c>
      <c r="O36" s="131">
        <f>IF(OR(F36="",N36="",N36=0),"",ROUND(F36*N36,2))</f>
        <v/>
      </c>
      <c r="P36" s="93" t="n"/>
    </row>
    <row r="37">
      <c r="A37" s="88" t="inlineStr">
        <is>
          <t>Jesús</t>
        </is>
      </c>
      <c r="B37" s="89" t="n">
        <v>437</v>
      </c>
      <c r="C37" s="89" t="inlineStr">
        <is>
          <t>ST-192</t>
        </is>
      </c>
      <c r="D37" s="89" t="inlineStr">
        <is>
          <t>Rombos</t>
        </is>
      </c>
      <c r="E37" s="89" t="inlineStr">
        <is>
          <t>AG3</t>
        </is>
      </c>
      <c r="F37" s="111" t="n">
        <v>12</v>
      </c>
      <c r="G37" s="129" t="n"/>
      <c r="H37" s="129" t="n"/>
      <c r="I37" s="129" t="n"/>
      <c r="J37" s="129" t="n"/>
      <c r="K37" s="129" t="n"/>
      <c r="L37" s="129" t="n"/>
      <c r="M37" s="129" t="n"/>
      <c r="N37" s="130">
        <f>IF(SUM(G37:M37)=0,"",SUM(G37:M37))</f>
        <v/>
      </c>
      <c r="O37" s="131">
        <f>IF(OR(F37="",N37="",N37=0),"",ROUND(F37*N37,2))</f>
        <v/>
      </c>
      <c r="P37" s="93" t="n"/>
    </row>
    <row r="38">
      <c r="A38" s="88" t="inlineStr">
        <is>
          <t>Gerónimo Cruz</t>
        </is>
      </c>
      <c r="B38" s="89" t="n">
        <v>455</v>
      </c>
      <c r="C38" s="89" t="inlineStr">
        <is>
          <t>F019-1</t>
        </is>
      </c>
      <c r="D38" s="89" t="inlineStr">
        <is>
          <t>Diamante</t>
        </is>
      </c>
      <c r="E38" s="89" t="inlineStr">
        <is>
          <t>AG3</t>
        </is>
      </c>
      <c r="F38" s="111" t="n">
        <v>12</v>
      </c>
      <c r="G38" s="129" t="n"/>
      <c r="H38" s="129" t="n"/>
      <c r="I38" s="129" t="n"/>
      <c r="J38" s="129" t="n"/>
      <c r="K38" s="129" t="n"/>
      <c r="L38" s="129" t="n"/>
      <c r="M38" s="129" t="n"/>
      <c r="N38" s="130">
        <f>IF(SUM(G38:M38)=0,"",SUM(G38:M38))</f>
        <v/>
      </c>
      <c r="O38" s="131">
        <f>IF(OR(F38="",N38="",N38=0),"",ROUND(F38*N38,2))</f>
        <v/>
      </c>
      <c r="P38" s="93" t="n"/>
    </row>
    <row r="39">
      <c r="A39" s="88" t="inlineStr">
        <is>
          <t>Gerónimo Cruz</t>
        </is>
      </c>
      <c r="B39" s="89" t="n">
        <v>455</v>
      </c>
      <c r="C39" s="89" t="inlineStr">
        <is>
          <t>P-215</t>
        </is>
      </c>
      <c r="D39" s="89" t="inlineStr">
        <is>
          <t>Mil Hojas</t>
        </is>
      </c>
      <c r="E39" s="89" t="inlineStr">
        <is>
          <t>AG3</t>
        </is>
      </c>
      <c r="F39" s="111" t="n">
        <v>15</v>
      </c>
      <c r="G39" s="129" t="n">
        <v>3.7</v>
      </c>
      <c r="H39" s="129" t="n">
        <v>6.8</v>
      </c>
      <c r="I39" s="129" t="n">
        <v>3.3</v>
      </c>
      <c r="J39" s="129" t="n"/>
      <c r="K39" s="129" t="n"/>
      <c r="L39" s="129" t="n"/>
      <c r="M39" s="129" t="n"/>
      <c r="N39" s="130">
        <f>IF(SUM(G39:M39)=0,"",SUM(G39:M39))</f>
        <v/>
      </c>
      <c r="O39" s="131">
        <f>IF(OR(F39="",N39="",N39=0),"",ROUND(F39*N39,2))</f>
        <v/>
      </c>
      <c r="P39" s="93" t="n"/>
    </row>
    <row r="40">
      <c r="A40" s="88" t="inlineStr">
        <is>
          <t>Ismael Bernal</t>
        </is>
      </c>
      <c r="B40" s="89" t="n">
        <v>462</v>
      </c>
      <c r="C40" s="89" t="inlineStr">
        <is>
          <t>F-019-1</t>
        </is>
      </c>
      <c r="D40" s="89" t="inlineStr">
        <is>
          <t>Infinito</t>
        </is>
      </c>
      <c r="E40" s="89" t="inlineStr">
        <is>
          <t>AG3</t>
        </is>
      </c>
      <c r="F40" s="111" t="n">
        <v>12</v>
      </c>
      <c r="G40" s="129" t="n"/>
      <c r="H40" s="129" t="n"/>
      <c r="I40" s="129" t="n"/>
      <c r="J40" s="129" t="n"/>
      <c r="K40" s="129" t="n"/>
      <c r="L40" s="129" t="n"/>
      <c r="M40" s="129" t="n"/>
      <c r="N40" s="130">
        <f>IF(SUM(G40:M40)=0,"",SUM(G40:M40))</f>
        <v/>
      </c>
      <c r="O40" s="131">
        <f>IF(OR(F40="",N40="",N40=0),"",ROUND(F40*N40,2))</f>
        <v/>
      </c>
      <c r="P40" s="93" t="n"/>
    </row>
    <row r="41">
      <c r="A41" s="88" t="inlineStr">
        <is>
          <t>Luis (474)</t>
        </is>
      </c>
      <c r="B41" s="89" t="n">
        <v>474</v>
      </c>
      <c r="C41" s="89" t="inlineStr">
        <is>
          <t>P-321</t>
        </is>
      </c>
      <c r="D41" s="89" t="inlineStr">
        <is>
          <t>Grecas</t>
        </is>
      </c>
      <c r="E41" s="89" t="inlineStr">
        <is>
          <t>AG3</t>
        </is>
      </c>
      <c r="F41" s="111" t="n">
        <v>12</v>
      </c>
      <c r="G41" s="129" t="n">
        <v>8.5</v>
      </c>
      <c r="H41" s="129" t="n">
        <v>3.8</v>
      </c>
      <c r="I41" s="129" t="n"/>
      <c r="J41" s="129" t="n"/>
      <c r="K41" s="129" t="n"/>
      <c r="L41" s="129" t="n"/>
      <c r="M41" s="129" t="n"/>
      <c r="N41" s="130">
        <f>IF(SUM(G41:M41)=0,"",SUM(G41:M41))</f>
        <v/>
      </c>
      <c r="O41" s="131">
        <f>IF(OR(F41="",N41="",N41=0),"",ROUND(F41*N41,2))</f>
        <v/>
      </c>
      <c r="P41" s="93" t="n"/>
    </row>
    <row r="42">
      <c r="A42" s="88" t="inlineStr">
        <is>
          <t>Manuel Ramírez</t>
        </is>
      </c>
      <c r="B42" s="89" t="n">
        <v>482</v>
      </c>
      <c r="C42" s="89" t="inlineStr">
        <is>
          <t>R-337</t>
        </is>
      </c>
      <c r="D42" s="89" t="inlineStr">
        <is>
          <t>Cartera</t>
        </is>
      </c>
      <c r="E42" s="89" t="inlineStr">
        <is>
          <t>AG3</t>
        </is>
      </c>
      <c r="F42" s="111" t="n">
        <v>12</v>
      </c>
      <c r="G42" s="129" t="n">
        <v>3.9</v>
      </c>
      <c r="H42" s="129" t="n"/>
      <c r="I42" s="129" t="n"/>
      <c r="J42" s="129" t="n"/>
      <c r="K42" s="129" t="n"/>
      <c r="L42" s="129" t="n"/>
      <c r="M42" s="129" t="n"/>
      <c r="N42" s="130">
        <f>IF(SUM(G42:M42)=0,"",SUM(G42:M42))</f>
        <v/>
      </c>
      <c r="O42" s="131">
        <f>IF(OR(F42="",N42="",N42=0),"",ROUND(F42*N42,2))</f>
        <v/>
      </c>
      <c r="P42" s="93" t="n"/>
    </row>
    <row r="43">
      <c r="A43" s="88" t="inlineStr">
        <is>
          <t>Manuel Ramírez</t>
        </is>
      </c>
      <c r="B43" s="89" t="n">
        <v>482</v>
      </c>
      <c r="C43" s="89" t="inlineStr">
        <is>
          <t>ST-225</t>
        </is>
      </c>
      <c r="D43" s="89" t="inlineStr">
        <is>
          <t>Secuencia</t>
        </is>
      </c>
      <c r="E43" s="89" t="inlineStr">
        <is>
          <t>AG3</t>
        </is>
      </c>
      <c r="F43" s="111" t="n">
        <v>12</v>
      </c>
      <c r="G43" s="129" t="n"/>
      <c r="H43" s="129" t="n">
        <v>7.5</v>
      </c>
      <c r="I43" s="129" t="n">
        <v>3.9</v>
      </c>
      <c r="J43" s="129" t="n"/>
      <c r="K43" s="129" t="n"/>
      <c r="L43" s="129" t="n"/>
      <c r="M43" s="129" t="n"/>
      <c r="N43" s="130">
        <f>IF(SUM(G43:M43)=0,"",SUM(G43:M43))</f>
        <v/>
      </c>
      <c r="O43" s="131">
        <f>IF(OR(F43="",N43="",N43=0),"",ROUND(F43*N43,2))</f>
        <v/>
      </c>
      <c r="P43" s="93" t="n"/>
    </row>
    <row r="44">
      <c r="A44" s="88" t="inlineStr">
        <is>
          <t>Arturo</t>
        </is>
      </c>
      <c r="B44" s="89" t="n">
        <v>487</v>
      </c>
      <c r="C44" s="89" t="inlineStr">
        <is>
          <t>ST-199</t>
        </is>
      </c>
      <c r="D44" s="89" t="inlineStr">
        <is>
          <t>Rombos</t>
        </is>
      </c>
      <c r="E44" s="89" t="inlineStr">
        <is>
          <t>AG3</t>
        </is>
      </c>
      <c r="F44" s="111" t="n">
        <v>12</v>
      </c>
      <c r="G44" s="129" t="n">
        <v>3.8</v>
      </c>
      <c r="H44" s="129" t="n"/>
      <c r="I44" s="129" t="n"/>
      <c r="J44" s="129" t="n"/>
      <c r="K44" s="129" t="n"/>
      <c r="L44" s="129" t="n"/>
      <c r="M44" s="129" t="n"/>
      <c r="N44" s="130">
        <f>IF(SUM(G44:M44)=0,"",SUM(G44:M44))</f>
        <v/>
      </c>
      <c r="O44" s="131">
        <f>IF(OR(F44="",N44="",N44=0),"",ROUND(F44*N44,2))</f>
        <v/>
      </c>
      <c r="P44" s="93" t="n"/>
    </row>
    <row r="45">
      <c r="A45" s="88" t="inlineStr">
        <is>
          <t>Diego (487)</t>
        </is>
      </c>
      <c r="B45" s="89" t="n">
        <v>487</v>
      </c>
      <c r="C45" s="89" t="inlineStr">
        <is>
          <t>ST-227</t>
        </is>
      </c>
      <c r="D45" s="89" t="inlineStr">
        <is>
          <t>Centella</t>
        </is>
      </c>
      <c r="E45" s="89" t="inlineStr">
        <is>
          <t>AG3</t>
        </is>
      </c>
      <c r="F45" s="111" t="n">
        <v>12</v>
      </c>
      <c r="G45" s="129" t="n">
        <v>8.9</v>
      </c>
      <c r="H45" s="129" t="n"/>
      <c r="I45" s="129" t="n">
        <v>3.6</v>
      </c>
      <c r="J45" s="129" t="n"/>
      <c r="K45" s="129" t="n"/>
      <c r="L45" s="129" t="n"/>
      <c r="M45" s="129" t="n"/>
      <c r="N45" s="130">
        <f>IF(SUM(G45:M45)=0,"",SUM(G45:M45))</f>
        <v/>
      </c>
      <c r="O45" s="131">
        <f>IF(OR(F45="",N45="",N45=0),"",ROUND(F45*N45,2))</f>
        <v/>
      </c>
      <c r="P45" s="93" t="n"/>
    </row>
    <row r="46">
      <c r="A46" s="100" t="inlineStr">
        <is>
          <t>Diego (487)</t>
        </is>
      </c>
      <c r="B46" s="101" t="n">
        <v>487</v>
      </c>
      <c r="C46" s="101" t="inlineStr">
        <is>
          <t>Texana</t>
        </is>
      </c>
      <c r="D46" s="101" t="inlineStr">
        <is>
          <t>Pavo</t>
        </is>
      </c>
      <c r="E46" s="101" t="inlineStr">
        <is>
          <t>DOL</t>
        </is>
      </c>
      <c r="F46" s="113" t="n">
        <v>13</v>
      </c>
      <c r="G46" s="135" t="n"/>
      <c r="H46" s="135" t="n"/>
      <c r="I46" s="135" t="n"/>
      <c r="J46" s="135" t="n"/>
      <c r="K46" s="135" t="n"/>
      <c r="L46" s="135" t="n"/>
      <c r="M46" s="135" t="n"/>
      <c r="N46" s="136">
        <f>IF(SUM(G46:M46)=0,"",SUM(G46:M46))</f>
        <v/>
      </c>
      <c r="O46" s="137">
        <f>IF(OR(F46="",N46="",N46=0),"",ROUND(F46*N46,2))</f>
        <v/>
      </c>
      <c r="P46" s="105" t="n"/>
    </row>
    <row r="47">
      <c r="A47" s="88" t="inlineStr">
        <is>
          <t>Esteban Adrián</t>
        </is>
      </c>
      <c r="B47" s="89" t="n">
        <v>487</v>
      </c>
      <c r="C47" s="89" t="inlineStr">
        <is>
          <t>ST-203</t>
        </is>
      </c>
      <c r="D47" s="89" t="inlineStr">
        <is>
          <t>Centella</t>
        </is>
      </c>
      <c r="E47" s="89" t="inlineStr">
        <is>
          <t>AG3</t>
        </is>
      </c>
      <c r="F47" s="111" t="n">
        <v>12</v>
      </c>
      <c r="G47" s="129" t="n">
        <v>3</v>
      </c>
      <c r="H47" s="129" t="n">
        <v>3.7</v>
      </c>
      <c r="I47" s="129" t="n"/>
      <c r="J47" s="129" t="n"/>
      <c r="K47" s="129" t="n"/>
      <c r="L47" s="129" t="n"/>
      <c r="M47" s="129" t="n"/>
      <c r="N47" s="130">
        <f>IF(SUM(G47:M47)=0,"",SUM(G47:M47))</f>
        <v/>
      </c>
      <c r="O47" s="131">
        <f>IF(OR(F47="",N47="",N47=0),"",ROUND(F47*N47,2))</f>
        <v/>
      </c>
      <c r="P47" s="93" t="n"/>
    </row>
    <row r="48">
      <c r="A48" s="88" t="inlineStr">
        <is>
          <t>Iván Díaz</t>
        </is>
      </c>
      <c r="B48" s="89" t="n">
        <v>487</v>
      </c>
      <c r="C48" s="89" t="inlineStr">
        <is>
          <t>F-023-D</t>
        </is>
      </c>
      <c r="D48" s="89" t="inlineStr">
        <is>
          <t>Secuencia</t>
        </is>
      </c>
      <c r="E48" s="89" t="inlineStr">
        <is>
          <t>AG3</t>
        </is>
      </c>
      <c r="F48" s="111" t="n">
        <v>12</v>
      </c>
      <c r="G48" s="129" t="n">
        <v>5.9</v>
      </c>
      <c r="H48" s="129" t="n"/>
      <c r="I48" s="129" t="n"/>
      <c r="J48" s="129" t="n"/>
      <c r="K48" s="129" t="n"/>
      <c r="L48" s="129" t="n"/>
      <c r="M48" s="129" t="n"/>
      <c r="N48" s="130">
        <f>IF(SUM(G48:M48)=0,"",SUM(G48:M48))</f>
        <v/>
      </c>
      <c r="O48" s="131">
        <f>IF(OR(F48="",N48="",N48=0),"",ROUND(F48*N48,2))</f>
        <v/>
      </c>
      <c r="P48" s="93" t="n"/>
    </row>
    <row r="49">
      <c r="A49" s="88" t="inlineStr">
        <is>
          <t>Iván Díaz</t>
        </is>
      </c>
      <c r="B49" s="89" t="n">
        <v>487</v>
      </c>
      <c r="C49" s="89" t="inlineStr">
        <is>
          <t>ST-219</t>
        </is>
      </c>
      <c r="D49" s="89" t="inlineStr">
        <is>
          <t>Cubos</t>
        </is>
      </c>
      <c r="E49" s="89" t="inlineStr">
        <is>
          <t>AG3</t>
        </is>
      </c>
      <c r="F49" s="111" t="n">
        <v>12</v>
      </c>
      <c r="G49" s="129" t="n"/>
      <c r="H49" s="129" t="n"/>
      <c r="I49" s="129" t="n">
        <v>3.3</v>
      </c>
      <c r="J49" s="129" t="n"/>
      <c r="K49" s="129" t="n"/>
      <c r="L49" s="129" t="n"/>
      <c r="M49" s="129" t="n"/>
      <c r="N49" s="130">
        <f>IF(SUM(G49:M49)=0,"",SUM(G49:M49))</f>
        <v/>
      </c>
      <c r="O49" s="131">
        <f>IF(OR(F49="",N49="",N49=0),"",ROUND(F49*N49,2))</f>
        <v/>
      </c>
      <c r="P49" s="93" t="n"/>
    </row>
    <row r="50">
      <c r="A50" s="88" t="inlineStr">
        <is>
          <t>Pedro Martínez García</t>
        </is>
      </c>
      <c r="B50" s="89" t="n">
        <v>487</v>
      </c>
      <c r="C50" s="89" t="inlineStr">
        <is>
          <t>F-019-7</t>
        </is>
      </c>
      <c r="D50" s="89" t="inlineStr">
        <is>
          <t>Centella</t>
        </is>
      </c>
      <c r="E50" s="89" t="inlineStr">
        <is>
          <t>AG3</t>
        </is>
      </c>
      <c r="F50" s="111" t="n">
        <v>12</v>
      </c>
      <c r="G50" s="129" t="n"/>
      <c r="H50" s="129" t="n"/>
      <c r="I50" s="129" t="n"/>
      <c r="J50" s="129" t="n"/>
      <c r="K50" s="129" t="n"/>
      <c r="L50" s="129" t="n"/>
      <c r="M50" s="129" t="n"/>
      <c r="N50" s="130">
        <f>IF(SUM(G50:M50)=0,"",SUM(G50:M50))</f>
        <v/>
      </c>
      <c r="O50" s="131">
        <f>IF(OR(F50="",N50="",N50=0),"",ROUND(F50*N50,2))</f>
        <v/>
      </c>
      <c r="P50" s="93" t="n"/>
    </row>
    <row r="51">
      <c r="A51" s="88" t="inlineStr">
        <is>
          <t>Pedro Martínez García</t>
        </is>
      </c>
      <c r="B51" s="89" t="n">
        <v>487</v>
      </c>
      <c r="C51" s="89" t="inlineStr">
        <is>
          <t>ST-202</t>
        </is>
      </c>
      <c r="D51" s="89" t="inlineStr">
        <is>
          <t>Secuencia</t>
        </is>
      </c>
      <c r="E51" s="89" t="inlineStr">
        <is>
          <t>AG3</t>
        </is>
      </c>
      <c r="F51" s="111" t="n">
        <v>12</v>
      </c>
      <c r="G51" s="129" t="n"/>
      <c r="H51" s="129" t="n"/>
      <c r="I51" s="129" t="n">
        <v>3.8</v>
      </c>
      <c r="J51" s="129" t="n"/>
      <c r="K51" s="129" t="n"/>
      <c r="L51" s="129" t="n"/>
      <c r="M51" s="129" t="n"/>
      <c r="N51" s="130">
        <f>IF(SUM(G51:M51)=0,"",SUM(G51:M51))</f>
        <v/>
      </c>
      <c r="O51" s="131">
        <f>IF(OR(F51="",N51="",N51=0),"",ROUND(F51*N51,2))</f>
        <v/>
      </c>
      <c r="P51" s="93" t="n"/>
    </row>
    <row r="52">
      <c r="A52" s="88" t="inlineStr">
        <is>
          <t>Juan (515)</t>
        </is>
      </c>
      <c r="B52" s="89" t="n">
        <v>515</v>
      </c>
      <c r="C52" s="89" t="inlineStr">
        <is>
          <t>F-019-5</t>
        </is>
      </c>
      <c r="D52" s="89" t="inlineStr">
        <is>
          <t>Versace</t>
        </is>
      </c>
      <c r="E52" s="89" t="inlineStr">
        <is>
          <t>AG3</t>
        </is>
      </c>
      <c r="F52" s="111" t="n">
        <v>12</v>
      </c>
      <c r="G52" s="129" t="n"/>
      <c r="H52" s="129" t="n"/>
      <c r="I52" s="129" t="n"/>
      <c r="J52" s="129" t="n"/>
      <c r="K52" s="129" t="n"/>
      <c r="L52" s="129" t="n"/>
      <c r="M52" s="129" t="n"/>
      <c r="N52" s="130">
        <f>IF(SUM(G52:M52)=0,"",SUM(G52:M52))</f>
        <v/>
      </c>
      <c r="O52" s="131">
        <f>IF(OR(F52="",N52="",N52=0),"",ROUND(F52*N52,2))</f>
        <v/>
      </c>
      <c r="P52" s="93" t="n"/>
    </row>
    <row r="53">
      <c r="A53" s="88" t="inlineStr">
        <is>
          <t>Juan (515)</t>
        </is>
      </c>
      <c r="B53" s="89" t="n">
        <v>515</v>
      </c>
      <c r="C53" s="89" t="inlineStr">
        <is>
          <t>F-024</t>
        </is>
      </c>
      <c r="D53" s="89" t="n"/>
      <c r="E53" s="89" t="inlineStr">
        <is>
          <t>AG3</t>
        </is>
      </c>
      <c r="F53" s="111" t="n">
        <v>12</v>
      </c>
      <c r="G53" s="129" t="n"/>
      <c r="H53" s="129" t="n"/>
      <c r="I53" s="129" t="n">
        <v>7.4</v>
      </c>
      <c r="J53" s="129" t="n"/>
      <c r="K53" s="129" t="n"/>
      <c r="L53" s="129" t="n"/>
      <c r="M53" s="129" t="n"/>
      <c r="N53" s="130">
        <f>IF(SUM(G53:M53)=0,"",SUM(G53:M53))</f>
        <v/>
      </c>
      <c r="O53" s="131">
        <f>IF(OR(F53="",N53="",N53=0),"",ROUND(F53*N53,2))</f>
        <v/>
      </c>
      <c r="P53" s="93" t="n"/>
    </row>
    <row r="54">
      <c r="A54" s="88" t="inlineStr">
        <is>
          <t>Juan (515)</t>
        </is>
      </c>
      <c r="B54" s="89" t="n">
        <v>515</v>
      </c>
      <c r="C54" s="89" t="inlineStr">
        <is>
          <t>P-235</t>
        </is>
      </c>
      <c r="D54" s="89" t="inlineStr">
        <is>
          <t>Aros</t>
        </is>
      </c>
      <c r="E54" s="89" t="inlineStr">
        <is>
          <t>AG3</t>
        </is>
      </c>
      <c r="F54" s="111" t="n">
        <v>14</v>
      </c>
      <c r="G54" s="129" t="n">
        <v>8.1</v>
      </c>
      <c r="H54" s="129" t="n">
        <v>6.8</v>
      </c>
      <c r="I54" s="129" t="n">
        <v>7.4</v>
      </c>
      <c r="J54" s="129" t="n"/>
      <c r="K54" s="129" t="n"/>
      <c r="L54" s="129" t="n"/>
      <c r="M54" s="129" t="n"/>
      <c r="N54" s="130">
        <f>IF(SUM(G54:M54)=0,"",SUM(G54:M54))</f>
        <v/>
      </c>
      <c r="O54" s="131">
        <f>IF(OR(F54="",N54="",N54=0),"",ROUND(F54*N54,2))</f>
        <v/>
      </c>
      <c r="P54" s="93" t="n"/>
    </row>
    <row r="55">
      <c r="A55" s="88" t="inlineStr">
        <is>
          <t>Pedro Rivera</t>
        </is>
      </c>
      <c r="B55" s="89" t="n">
        <v>533</v>
      </c>
      <c r="C55" s="89" t="inlineStr">
        <is>
          <t>P-320</t>
        </is>
      </c>
      <c r="D55" s="89" t="inlineStr">
        <is>
          <t>Grecas</t>
        </is>
      </c>
      <c r="E55" s="89" t="inlineStr">
        <is>
          <t>AG3</t>
        </is>
      </c>
      <c r="F55" s="111" t="n">
        <v>12</v>
      </c>
      <c r="G55" s="129" t="n">
        <v>8.4</v>
      </c>
      <c r="H55" s="129" t="n">
        <v>9</v>
      </c>
      <c r="I55" s="129" t="n">
        <v>3.5</v>
      </c>
      <c r="J55" s="129" t="n"/>
      <c r="K55" s="129" t="n"/>
      <c r="L55" s="129" t="n"/>
      <c r="M55" s="129" t="n"/>
      <c r="N55" s="130">
        <f>IF(SUM(G55:M55)=0,"",SUM(G55:M55))</f>
        <v/>
      </c>
      <c r="O55" s="131">
        <f>IF(OR(F55="",N55="",N55=0),"",ROUND(F55*N55,2))</f>
        <v/>
      </c>
      <c r="P55" s="93" t="n"/>
    </row>
    <row r="56">
      <c r="A56" s="88" t="inlineStr">
        <is>
          <t>Diego (552)</t>
        </is>
      </c>
      <c r="B56" s="89" t="n">
        <v>552</v>
      </c>
      <c r="C56" s="89" t="inlineStr">
        <is>
          <t>ST-226</t>
        </is>
      </c>
      <c r="D56" s="89" t="n"/>
      <c r="E56" s="89" t="inlineStr">
        <is>
          <t>AG3</t>
        </is>
      </c>
      <c r="F56" s="111" t="n">
        <v>12</v>
      </c>
      <c r="G56" s="129" t="n"/>
      <c r="H56" s="129" t="n"/>
      <c r="I56" s="129" t="n">
        <v>3.2</v>
      </c>
      <c r="J56" s="129" t="n"/>
      <c r="K56" s="129" t="n"/>
      <c r="L56" s="129" t="n"/>
      <c r="M56" s="129" t="n"/>
      <c r="N56" s="130">
        <f>IF(SUM(G56:M56)=0,"",SUM(G56:M56))</f>
        <v/>
      </c>
      <c r="O56" s="131">
        <f>IF(OR(F56="",N56="",N56=0),"",ROUND(F56*N56,2))</f>
        <v/>
      </c>
      <c r="P56" s="93" t="n"/>
    </row>
    <row r="57">
      <c r="A57" s="88" t="inlineStr">
        <is>
          <t>Jorge Alberto</t>
        </is>
      </c>
      <c r="B57" s="89" t="n">
        <v>563</v>
      </c>
      <c r="C57" s="89" t="inlineStr">
        <is>
          <t>F-023-C</t>
        </is>
      </c>
      <c r="D57" s="89" t="n"/>
      <c r="E57" s="89" t="inlineStr">
        <is>
          <t>AG3</t>
        </is>
      </c>
      <c r="F57" s="111" t="n">
        <v>12</v>
      </c>
      <c r="G57" s="129" t="n"/>
      <c r="H57" s="129" t="n">
        <v>5.4</v>
      </c>
      <c r="I57" s="129" t="n">
        <v>9.6</v>
      </c>
      <c r="J57" s="129" t="n"/>
      <c r="K57" s="129" t="n"/>
      <c r="L57" s="129" t="n"/>
      <c r="M57" s="129" t="n"/>
      <c r="N57" s="130">
        <f>IF(SUM(G57:M57)=0,"",SUM(G57:M57))</f>
        <v/>
      </c>
      <c r="O57" s="131">
        <f>IF(OR(F57="",N57="",N57=0),"",ROUND(F57*N57,2))</f>
        <v/>
      </c>
      <c r="P57" s="93" t="n"/>
    </row>
    <row r="58">
      <c r="A58" s="88" t="inlineStr">
        <is>
          <t>Noé (565)</t>
        </is>
      </c>
      <c r="B58" s="89" t="n">
        <v>565</v>
      </c>
      <c r="C58" s="89" t="inlineStr">
        <is>
          <t>F-023-F</t>
        </is>
      </c>
      <c r="D58" s="89" t="n"/>
      <c r="E58" s="89" t="inlineStr">
        <is>
          <t>AG3</t>
        </is>
      </c>
      <c r="F58" s="111" t="n">
        <v>12</v>
      </c>
      <c r="G58" s="129" t="n">
        <v>6.2</v>
      </c>
      <c r="H58" s="129" t="n"/>
      <c r="I58" s="129" t="n"/>
      <c r="J58" s="129" t="n"/>
      <c r="K58" s="129" t="n"/>
      <c r="L58" s="129" t="n"/>
      <c r="M58" s="129" t="n"/>
      <c r="N58" s="130">
        <f>IF(SUM(G58:M58)=0,"",SUM(G58:M58))</f>
        <v/>
      </c>
      <c r="O58" s="131">
        <f>IF(OR(F58="",N58="",N58=0),"",ROUND(F58*N58,2))</f>
        <v/>
      </c>
      <c r="P58" s="93" t="n"/>
    </row>
    <row r="59">
      <c r="A59" s="88" t="inlineStr">
        <is>
          <t>Noé (565)</t>
        </is>
      </c>
      <c r="B59" s="89" t="n">
        <v>565</v>
      </c>
      <c r="C59" s="89" t="inlineStr">
        <is>
          <t>P-305</t>
        </is>
      </c>
      <c r="D59" s="89" t="inlineStr">
        <is>
          <t>Almanaque</t>
        </is>
      </c>
      <c r="E59" s="89" t="inlineStr">
        <is>
          <t>AG3</t>
        </is>
      </c>
      <c r="F59" s="111" t="n">
        <v>12</v>
      </c>
      <c r="G59" s="129" t="n">
        <v>5.5</v>
      </c>
      <c r="H59" s="129" t="n"/>
      <c r="I59" s="129" t="n"/>
      <c r="J59" s="129" t="n"/>
      <c r="K59" s="129" t="n"/>
      <c r="L59" s="129" t="n"/>
      <c r="M59" s="129" t="n"/>
      <c r="N59" s="130">
        <f>IF(SUM(G59:M59)=0,"",SUM(G59:M59))</f>
        <v/>
      </c>
      <c r="O59" s="131">
        <f>IF(OR(F59="",N59="",N59=0),"",ROUND(F59*N59,2))</f>
        <v/>
      </c>
      <c r="P59" s="93" t="n"/>
    </row>
    <row r="60">
      <c r="A60" s="88" t="inlineStr">
        <is>
          <t>Felipe Coronado Covarrubias</t>
        </is>
      </c>
      <c r="B60" s="89" t="n">
        <v>571</v>
      </c>
      <c r="C60" s="89" t="inlineStr">
        <is>
          <t>ST-212</t>
        </is>
      </c>
      <c r="D60" s="89" t="inlineStr">
        <is>
          <t>Centella</t>
        </is>
      </c>
      <c r="E60" s="89" t="inlineStr">
        <is>
          <t>AG3</t>
        </is>
      </c>
      <c r="F60" s="111" t="n">
        <v>12</v>
      </c>
      <c r="G60" s="129" t="n">
        <v>3.5</v>
      </c>
      <c r="H60" s="129" t="n">
        <v>8.5</v>
      </c>
      <c r="I60" s="129" t="n">
        <v>2.9</v>
      </c>
      <c r="J60" s="129" t="n"/>
      <c r="K60" s="129" t="n"/>
      <c r="L60" s="129" t="n"/>
      <c r="M60" s="129" t="n"/>
      <c r="N60" s="130">
        <f>IF(SUM(G60:M60)=0,"",SUM(G60:M60))</f>
        <v/>
      </c>
      <c r="O60" s="131">
        <f>IF(OR(F60="",N60="",N60=0),"",ROUND(F60*N60,2))</f>
        <v/>
      </c>
      <c r="P60" s="93" t="n"/>
    </row>
    <row r="61">
      <c r="A61" s="88" t="inlineStr">
        <is>
          <t>José (572)</t>
        </is>
      </c>
      <c r="B61" s="89" t="n">
        <v>572</v>
      </c>
      <c r="C61" s="89" t="inlineStr">
        <is>
          <t>ST-224</t>
        </is>
      </c>
      <c r="D61" s="89" t="inlineStr">
        <is>
          <t>Secuencia</t>
        </is>
      </c>
      <c r="E61" s="89" t="inlineStr">
        <is>
          <t>AG3</t>
        </is>
      </c>
      <c r="F61" s="111" t="n">
        <v>12</v>
      </c>
      <c r="G61" s="129" t="n">
        <v>11.3</v>
      </c>
      <c r="H61" s="129" t="n">
        <v>7.6</v>
      </c>
      <c r="I61" s="129" t="n">
        <v>3.7</v>
      </c>
      <c r="J61" s="129" t="n"/>
      <c r="K61" s="129" t="n"/>
      <c r="L61" s="129" t="n"/>
      <c r="M61" s="129" t="n"/>
      <c r="N61" s="130">
        <f>IF(SUM(G61:M61)=0,"",SUM(G61:M61))</f>
        <v/>
      </c>
      <c r="O61" s="131">
        <f>IF(OR(F61="",N61="",N61=0),"",ROUND(F61*N61,2))</f>
        <v/>
      </c>
      <c r="P61" s="93" t="n"/>
    </row>
    <row r="62">
      <c r="A62" s="88" t="inlineStr">
        <is>
          <t>Benjamín (578)</t>
        </is>
      </c>
      <c r="B62" s="89" t="n">
        <v>578</v>
      </c>
      <c r="C62" s="89" t="inlineStr">
        <is>
          <t>REP</t>
        </is>
      </c>
      <c r="D62" s="89" t="inlineStr">
        <is>
          <t>Reparación Concha</t>
        </is>
      </c>
      <c r="E62" s="89" t="inlineStr">
        <is>
          <t>AG3</t>
        </is>
      </c>
      <c r="F62" s="111" t="n">
        <v>14</v>
      </c>
      <c r="G62" s="129" t="n"/>
      <c r="H62" s="129" t="n"/>
      <c r="I62" s="129" t="n"/>
      <c r="J62" s="129" t="n"/>
      <c r="K62" s="129" t="n"/>
      <c r="L62" s="129" t="n"/>
      <c r="M62" s="129" t="n"/>
      <c r="N62" s="130">
        <f>IF(SUM(G62:M62)=0,"",SUM(G62:M62))</f>
        <v/>
      </c>
      <c r="O62" s="131">
        <f>IF(OR(F62="",N62="",N62=0),"",ROUND(F62*N62,2))</f>
        <v/>
      </c>
      <c r="P62" s="93" t="n"/>
    </row>
    <row r="63">
      <c r="A63" s="88" t="inlineStr">
        <is>
          <t>Cervando Leos</t>
        </is>
      </c>
      <c r="B63" s="89" t="n">
        <v>578</v>
      </c>
      <c r="C63" s="89" t="inlineStr">
        <is>
          <t>F-019-K</t>
        </is>
      </c>
      <c r="D63" s="89" t="n"/>
      <c r="E63" s="89" t="inlineStr">
        <is>
          <t>AG3</t>
        </is>
      </c>
      <c r="F63" s="111" t="n">
        <v>12</v>
      </c>
      <c r="G63" s="129" t="n"/>
      <c r="H63" s="129" t="n">
        <v>6</v>
      </c>
      <c r="I63" s="129" t="n">
        <v>6</v>
      </c>
      <c r="J63" s="129" t="n"/>
      <c r="K63" s="129" t="n"/>
      <c r="L63" s="129" t="n"/>
      <c r="M63" s="129" t="n"/>
      <c r="N63" s="130">
        <f>IF(SUM(G63:M63)=0,"",SUM(G63:M63))</f>
        <v/>
      </c>
      <c r="O63" s="131">
        <f>IF(OR(F63="",N63="",N63=0),"",ROUND(F63*N63,2))</f>
        <v/>
      </c>
      <c r="P63" s="93" t="n"/>
    </row>
    <row r="64">
      <c r="A64" s="88" t="inlineStr">
        <is>
          <t>Cervando Leos</t>
        </is>
      </c>
      <c r="B64" s="89" t="n">
        <v>578</v>
      </c>
      <c r="C64" s="89" t="inlineStr">
        <is>
          <t>ST-204</t>
        </is>
      </c>
      <c r="D64" s="89" t="inlineStr">
        <is>
          <t>Centella</t>
        </is>
      </c>
      <c r="E64" s="89" t="inlineStr">
        <is>
          <t>AG3</t>
        </is>
      </c>
      <c r="F64" s="111" t="n">
        <v>12</v>
      </c>
      <c r="G64" s="129" t="n">
        <v>4.3</v>
      </c>
      <c r="H64" s="129" t="n"/>
      <c r="I64" s="129" t="n"/>
      <c r="J64" s="129" t="n"/>
      <c r="K64" s="129" t="n"/>
      <c r="L64" s="129" t="n"/>
      <c r="M64" s="129" t="n"/>
      <c r="N64" s="130">
        <f>IF(SUM(G64:M64)=0,"",SUM(G64:M64))</f>
        <v/>
      </c>
      <c r="O64" s="131">
        <f>IF(OR(F64="",N64="",N64=0),"",ROUND(F64*N64,2))</f>
        <v/>
      </c>
      <c r="P64" s="93" t="n"/>
    </row>
    <row r="65">
      <c r="A65" s="88" t="inlineStr">
        <is>
          <t>Juan (584)</t>
        </is>
      </c>
      <c r="B65" s="89" t="n">
        <v>584</v>
      </c>
      <c r="C65" s="89" t="inlineStr">
        <is>
          <t>P-248</t>
        </is>
      </c>
      <c r="D65" s="89" t="inlineStr">
        <is>
          <t>Mil Hojas</t>
        </is>
      </c>
      <c r="E65" s="89" t="inlineStr">
        <is>
          <t>AG3</t>
        </is>
      </c>
      <c r="F65" s="111" t="n">
        <v>16</v>
      </c>
      <c r="G65" s="129" t="n">
        <v>4.5</v>
      </c>
      <c r="H65" s="129" t="n">
        <v>4.7</v>
      </c>
      <c r="I65" s="129" t="n">
        <v>3.8</v>
      </c>
      <c r="J65" s="129" t="n"/>
      <c r="K65" s="129" t="n"/>
      <c r="L65" s="129" t="n"/>
      <c r="M65" s="129" t="n"/>
      <c r="N65" s="130">
        <f>IF(SUM(G65:M65)=0,"",SUM(G65:M65))</f>
        <v/>
      </c>
      <c r="O65" s="131">
        <f>IF(OR(F65="",N65="",N65=0),"",ROUND(F65*N65,2))</f>
        <v/>
      </c>
      <c r="P65" s="93" t="n"/>
    </row>
    <row r="66">
      <c r="A66" s="88" t="inlineStr">
        <is>
          <t>Juan (584)</t>
        </is>
      </c>
      <c r="B66" s="89" t="n">
        <v>584</v>
      </c>
      <c r="C66" s="89" t="inlineStr">
        <is>
          <t>ST-200</t>
        </is>
      </c>
      <c r="D66" s="89" t="inlineStr">
        <is>
          <t>Secuencia</t>
        </is>
      </c>
      <c r="E66" s="89" t="inlineStr">
        <is>
          <t>AG3</t>
        </is>
      </c>
      <c r="F66" s="111" t="n">
        <v>12</v>
      </c>
      <c r="G66" s="129" t="n"/>
      <c r="H66" s="129" t="n"/>
      <c r="I66" s="129" t="n"/>
      <c r="J66" s="129" t="n"/>
      <c r="K66" s="129" t="n"/>
      <c r="L66" s="129" t="n"/>
      <c r="M66" s="129" t="n"/>
      <c r="N66" s="130">
        <f>IF(SUM(G66:M66)=0,"",SUM(G66:M66))</f>
        <v/>
      </c>
      <c r="O66" s="131">
        <f>IF(OR(F66="",N66="",N66=0),"",ROUND(F66*N66,2))</f>
        <v/>
      </c>
      <c r="P66" s="93" t="n"/>
    </row>
    <row r="67">
      <c r="A67" s="88" t="inlineStr">
        <is>
          <t>Miguel Ortiz Méndez</t>
        </is>
      </c>
      <c r="B67" s="89" t="n">
        <v>584</v>
      </c>
      <c r="C67" s="89" t="inlineStr">
        <is>
          <t>F-019-A</t>
        </is>
      </c>
      <c r="D67" s="89" t="inlineStr">
        <is>
          <t>Mil Cruces</t>
        </is>
      </c>
      <c r="E67" s="89" t="inlineStr">
        <is>
          <t>AG3</t>
        </is>
      </c>
      <c r="F67" s="111" t="n">
        <v>16</v>
      </c>
      <c r="G67" s="129" t="n"/>
      <c r="H67" s="129" t="n"/>
      <c r="I67" s="129" t="n"/>
      <c r="J67" s="129" t="n"/>
      <c r="K67" s="129" t="n"/>
      <c r="L67" s="129" t="n"/>
      <c r="M67" s="129" t="n"/>
      <c r="N67" s="130">
        <f>IF(SUM(G67:M67)=0,"",SUM(G67:M67))</f>
        <v/>
      </c>
      <c r="O67" s="131">
        <f>IF(OR(F67="",N67="",N67=0),"",ROUND(F67*N67,2))</f>
        <v/>
      </c>
      <c r="P67" s="93" t="n"/>
    </row>
    <row r="68">
      <c r="A68" s="88" t="inlineStr">
        <is>
          <t>Miguel Ortiz Méndez</t>
        </is>
      </c>
      <c r="B68" s="89" t="n">
        <v>584</v>
      </c>
      <c r="C68" s="89" t="inlineStr">
        <is>
          <t>P-317</t>
        </is>
      </c>
      <c r="D68" s="89" t="inlineStr">
        <is>
          <t>Aros</t>
        </is>
      </c>
      <c r="E68" s="89" t="inlineStr">
        <is>
          <t>AG3</t>
        </is>
      </c>
      <c r="F68" s="111" t="n">
        <v>12</v>
      </c>
      <c r="G68" s="129" t="n"/>
      <c r="H68" s="129" t="n">
        <v>9.5</v>
      </c>
      <c r="I68" s="129" t="n">
        <v>3</v>
      </c>
      <c r="J68" s="129" t="n"/>
      <c r="K68" s="129" t="n"/>
      <c r="L68" s="129" t="n"/>
      <c r="M68" s="129" t="n"/>
      <c r="N68" s="130">
        <f>IF(SUM(G68:M68)=0,"",SUM(G68:M68))</f>
        <v/>
      </c>
      <c r="O68" s="131">
        <f>IF(OR(F68="",N68="",N68=0),"",ROUND(F68*N68,2))</f>
        <v/>
      </c>
      <c r="P68" s="93" t="n"/>
    </row>
    <row r="69">
      <c r="A69" s="100" t="inlineStr">
        <is>
          <t>Miguel Ortiz Méndez</t>
        </is>
      </c>
      <c r="B69" s="101" t="n">
        <v>584</v>
      </c>
      <c r="C69" s="101" t="inlineStr">
        <is>
          <t>P-317</t>
        </is>
      </c>
      <c r="D69" s="101" t="inlineStr">
        <is>
          <t>Aros</t>
        </is>
      </c>
      <c r="E69" s="101" t="inlineStr">
        <is>
          <t>DOL</t>
        </is>
      </c>
      <c r="F69" s="113" t="n">
        <v>13</v>
      </c>
      <c r="G69" s="135" t="n"/>
      <c r="H69" s="135" t="n"/>
      <c r="I69" s="135" t="n">
        <v>1.8</v>
      </c>
      <c r="J69" s="135" t="n"/>
      <c r="K69" s="135" t="n"/>
      <c r="L69" s="135" t="n"/>
      <c r="M69" s="135" t="n"/>
      <c r="N69" s="136">
        <f>IF(SUM(G69:M69)=0,"",SUM(G69:M69))</f>
        <v/>
      </c>
      <c r="O69" s="137">
        <f>IF(OR(F69="",N69="",N69=0),"",ROUND(F69*N69,2))</f>
        <v/>
      </c>
      <c r="P69" s="105" t="n"/>
    </row>
    <row r="70">
      <c r="A70" s="88" t="inlineStr">
        <is>
          <t>José Alberto</t>
        </is>
      </c>
      <c r="B70" s="89" t="n">
        <v>634</v>
      </c>
      <c r="C70" s="89" t="inlineStr">
        <is>
          <t>ST-201</t>
        </is>
      </c>
      <c r="D70" s="89" t="inlineStr">
        <is>
          <t>Centellas</t>
        </is>
      </c>
      <c r="E70" s="89" t="inlineStr">
        <is>
          <t>AG3</t>
        </is>
      </c>
      <c r="F70" s="111" t="n">
        <v>12</v>
      </c>
      <c r="G70" s="129" t="n"/>
      <c r="H70" s="129" t="n"/>
      <c r="I70" s="129" t="n"/>
      <c r="J70" s="129" t="n"/>
      <c r="K70" s="129" t="n"/>
      <c r="L70" s="129" t="n"/>
      <c r="M70" s="129" t="n"/>
      <c r="N70" s="130">
        <f>IF(SUM(G70:M70)=0,"",SUM(G70:M70))</f>
        <v/>
      </c>
      <c r="O70" s="131">
        <f>IF(OR(F70="",N70="",N70=0),"",ROUND(F70*N70,2))</f>
        <v/>
      </c>
      <c r="P70" s="93" t="n"/>
    </row>
    <row r="71">
      <c r="A71" s="88" t="inlineStr">
        <is>
          <t>José (644)</t>
        </is>
      </c>
      <c r="B71" s="89" t="n">
        <v>644</v>
      </c>
      <c r="C71" s="89" t="inlineStr">
        <is>
          <t>ST-211</t>
        </is>
      </c>
      <c r="D71" s="89" t="inlineStr">
        <is>
          <t>Cubos</t>
        </is>
      </c>
      <c r="E71" s="89" t="inlineStr">
        <is>
          <t>AG3</t>
        </is>
      </c>
      <c r="F71" s="111" t="n">
        <v>12</v>
      </c>
      <c r="G71" s="129" t="n">
        <v>6.7</v>
      </c>
      <c r="H71" s="129" t="n">
        <v>2.9</v>
      </c>
      <c r="I71" s="129" t="n"/>
      <c r="J71" s="129" t="n"/>
      <c r="K71" s="129" t="n"/>
      <c r="L71" s="129" t="n"/>
      <c r="M71" s="129" t="n"/>
      <c r="N71" s="130">
        <f>IF(SUM(G71:M71)=0,"",SUM(G71:M71))</f>
        <v/>
      </c>
      <c r="O71" s="131">
        <f>IF(OR(F71="",N71="",N71=0),"",ROUND(F71*N71,2))</f>
        <v/>
      </c>
      <c r="P71" s="93" t="n"/>
    </row>
    <row r="72">
      <c r="A72" s="88" t="inlineStr">
        <is>
          <t>Alejandro</t>
        </is>
      </c>
      <c r="B72" s="89" t="n">
        <v>663</v>
      </c>
      <c r="C72" s="89" t="inlineStr">
        <is>
          <t>ST-170</t>
        </is>
      </c>
      <c r="D72" s="89" t="inlineStr">
        <is>
          <t>Cubos</t>
        </is>
      </c>
      <c r="E72" s="89" t="inlineStr">
        <is>
          <t>AG3</t>
        </is>
      </c>
      <c r="F72" s="111" t="n">
        <v>12</v>
      </c>
      <c r="G72" s="129" t="n">
        <v>4.6</v>
      </c>
      <c r="H72" s="129" t="n"/>
      <c r="I72" s="129" t="n">
        <v>3.5</v>
      </c>
      <c r="J72" s="129" t="n"/>
      <c r="K72" s="129" t="n"/>
      <c r="L72" s="129" t="n"/>
      <c r="M72" s="129" t="n"/>
      <c r="N72" s="130">
        <f>IF(SUM(G72:M72)=0,"",SUM(G72:M72))</f>
        <v/>
      </c>
      <c r="O72" s="131">
        <f>IF(OR(F72="",N72="",N72=0),"",ROUND(F72*N72,2))</f>
        <v/>
      </c>
      <c r="P72" s="93" t="n"/>
    </row>
    <row r="73">
      <c r="A73" s="88" t="inlineStr">
        <is>
          <t>Juan Diego</t>
        </is>
      </c>
      <c r="B73" s="89" t="n">
        <v>672</v>
      </c>
      <c r="C73" s="89" t="inlineStr">
        <is>
          <t>ST-207</t>
        </is>
      </c>
      <c r="D73" s="89" t="inlineStr">
        <is>
          <t>Rombos</t>
        </is>
      </c>
      <c r="E73" s="89" t="inlineStr">
        <is>
          <t>AG3</t>
        </is>
      </c>
      <c r="F73" s="111" t="n">
        <v>12</v>
      </c>
      <c r="G73" s="129" t="n"/>
      <c r="H73" s="129" t="n">
        <v>7.7</v>
      </c>
      <c r="I73" s="129" t="n"/>
      <c r="J73" s="129" t="n"/>
      <c r="K73" s="129" t="n"/>
      <c r="L73" s="129" t="n"/>
      <c r="M73" s="129" t="n"/>
      <c r="N73" s="130">
        <f>IF(SUM(G73:M73)=0,"",SUM(G73:M73))</f>
        <v/>
      </c>
      <c r="O73" s="131">
        <f>IF(OR(F73="",N73="",N73=0),"",ROUND(F73*N73,2))</f>
        <v/>
      </c>
      <c r="P73" s="93" t="n"/>
    </row>
    <row r="74">
      <c r="A74" s="88" t="inlineStr">
        <is>
          <t>Adrián</t>
        </is>
      </c>
      <c r="B74" s="89" t="n">
        <v>737</v>
      </c>
      <c r="C74" s="89" t="inlineStr">
        <is>
          <t>ST-196</t>
        </is>
      </c>
      <c r="D74" s="89" t="inlineStr">
        <is>
          <t>Rombos</t>
        </is>
      </c>
      <c r="E74" s="89" t="inlineStr">
        <is>
          <t>AG3</t>
        </is>
      </c>
      <c r="F74" s="111" t="n">
        <v>12</v>
      </c>
      <c r="G74" s="129" t="n"/>
      <c r="H74" s="129" t="n"/>
      <c r="I74" s="129" t="n">
        <v>3.9</v>
      </c>
      <c r="J74" s="129" t="n"/>
      <c r="K74" s="129" t="n"/>
      <c r="L74" s="129" t="n"/>
      <c r="M74" s="129" t="n"/>
      <c r="N74" s="130">
        <f>IF(SUM(G74:M74)=0,"",SUM(G74:M74))</f>
        <v/>
      </c>
      <c r="O74" s="131">
        <f>IF(OR(F74="",N74="",N74=0),"",ROUND(F74*N74,2))</f>
        <v/>
      </c>
      <c r="P74" s="93" t="n"/>
    </row>
    <row r="75">
      <c r="A75" s="100" t="inlineStr">
        <is>
          <t>Oscar (737)</t>
        </is>
      </c>
      <c r="B75" s="101" t="n">
        <v>737</v>
      </c>
      <c r="C75" s="101" t="inlineStr">
        <is>
          <t>P-302</t>
        </is>
      </c>
      <c r="D75" s="101" t="inlineStr">
        <is>
          <t>Versace</t>
        </is>
      </c>
      <c r="E75" s="101" t="inlineStr">
        <is>
          <t>DOL</t>
        </is>
      </c>
      <c r="F75" s="113" t="n"/>
      <c r="G75" s="135" t="n"/>
      <c r="H75" s="135" t="n"/>
      <c r="I75" s="135" t="n"/>
      <c r="J75" s="135" t="n"/>
      <c r="K75" s="135" t="n"/>
      <c r="L75" s="135" t="n"/>
      <c r="M75" s="135" t="n"/>
      <c r="N75" s="136">
        <f>IF(SUM(G75:M75)=0,"",SUM(G75:M75))</f>
        <v/>
      </c>
      <c r="O75" s="137">
        <f>IF(OR(F75="",N75="",N75=0),"",ROUND(F75*N75,2))</f>
        <v/>
      </c>
      <c r="P75" s="105" t="n"/>
    </row>
    <row r="76">
      <c r="A76" s="88" t="inlineStr">
        <is>
          <t>Oscar (737)</t>
        </is>
      </c>
      <c r="B76" s="89" t="n">
        <v>737</v>
      </c>
      <c r="C76" s="89" t="inlineStr">
        <is>
          <t>P-310</t>
        </is>
      </c>
      <c r="D76" s="89" t="inlineStr">
        <is>
          <t>Diamante</t>
        </is>
      </c>
      <c r="E76" s="89" t="inlineStr">
        <is>
          <t>AG3</t>
        </is>
      </c>
      <c r="F76" s="111" t="n"/>
      <c r="G76" s="129" t="n"/>
      <c r="H76" s="129" t="n"/>
      <c r="I76" s="129" t="n"/>
      <c r="J76" s="129" t="n"/>
      <c r="K76" s="129" t="n"/>
      <c r="L76" s="129" t="n"/>
      <c r="M76" s="129" t="n"/>
      <c r="N76" s="130">
        <f>IF(SUM(G76:M76)=0,"",SUM(G76:M76))</f>
        <v/>
      </c>
      <c r="O76" s="131">
        <f>IF(OR(F76="",N76="",N76=0),"",ROUND(F76*N76,2))</f>
        <v/>
      </c>
      <c r="P76" s="93" t="n"/>
    </row>
    <row r="77">
      <c r="A77" s="100" t="inlineStr">
        <is>
          <t>Oscar (737)</t>
        </is>
      </c>
      <c r="B77" s="101" t="n">
        <v>737</v>
      </c>
      <c r="C77" s="101" t="inlineStr">
        <is>
          <t>P-310</t>
        </is>
      </c>
      <c r="D77" s="101" t="inlineStr">
        <is>
          <t>Diamante</t>
        </is>
      </c>
      <c r="E77" s="101" t="inlineStr">
        <is>
          <t>DOL</t>
        </is>
      </c>
      <c r="F77" s="113" t="n"/>
      <c r="G77" s="135" t="n"/>
      <c r="H77" s="135" t="n"/>
      <c r="I77" s="135" t="n"/>
      <c r="J77" s="135" t="n"/>
      <c r="K77" s="135" t="n"/>
      <c r="L77" s="135" t="n"/>
      <c r="M77" s="135" t="n"/>
      <c r="N77" s="136">
        <f>IF(SUM(G77:M77)=0,"",SUM(G77:M77))</f>
        <v/>
      </c>
      <c r="O77" s="137">
        <f>IF(OR(F77="",N77="",N77=0),"",ROUND(F77*N77,2))</f>
        <v/>
      </c>
      <c r="P77" s="105" t="n"/>
    </row>
    <row r="78">
      <c r="A78" s="88" t="inlineStr">
        <is>
          <t>Oscar (737)</t>
        </is>
      </c>
      <c r="B78" s="89" t="n">
        <v>737</v>
      </c>
      <c r="C78" s="89" t="inlineStr">
        <is>
          <t>REP</t>
        </is>
      </c>
      <c r="D78" s="89" t="inlineStr">
        <is>
          <t>Reparación</t>
        </is>
      </c>
      <c r="E78" s="89" t="inlineStr">
        <is>
          <t>AG3</t>
        </is>
      </c>
      <c r="F78" s="111" t="n"/>
      <c r="G78" s="129" t="n"/>
      <c r="H78" s="129" t="n"/>
      <c r="I78" s="129" t="n"/>
      <c r="J78" s="129" t="n"/>
      <c r="K78" s="129" t="n"/>
      <c r="L78" s="129" t="n"/>
      <c r="M78" s="129" t="n"/>
      <c r="N78" s="130">
        <f>IF(SUM(G78:M78)=0,"",SUM(G78:M78))</f>
        <v/>
      </c>
      <c r="O78" s="131">
        <f>IF(OR(F78="",N78="",N78=0),"",ROUND(F78*N78,2))</f>
        <v/>
      </c>
      <c r="P78" s="93" t="n"/>
    </row>
    <row r="79">
      <c r="A79" s="88" t="inlineStr">
        <is>
          <t>Hugo (741)</t>
        </is>
      </c>
      <c r="B79" s="89" t="n">
        <v>741</v>
      </c>
      <c r="C79" s="89" t="inlineStr">
        <is>
          <t>F-023-F</t>
        </is>
      </c>
      <c r="D79" s="89" t="n"/>
      <c r="E79" s="89" t="inlineStr">
        <is>
          <t>AG3</t>
        </is>
      </c>
      <c r="F79" s="111" t="n"/>
      <c r="G79" s="129" t="n"/>
      <c r="H79" s="129" t="n"/>
      <c r="I79" s="129" t="n">
        <v>4.5</v>
      </c>
      <c r="J79" s="129" t="n"/>
      <c r="K79" s="129" t="n"/>
      <c r="L79" s="129" t="n"/>
      <c r="M79" s="129" t="n"/>
      <c r="N79" s="130">
        <f>IF(SUM(G79:M79)=0,"",SUM(G79:M79))</f>
        <v/>
      </c>
      <c r="O79" s="131">
        <f>IF(OR(F79="",N79="",N79=0),"",ROUND(F79*N79,2))</f>
        <v/>
      </c>
      <c r="P79" s="93" t="n"/>
    </row>
    <row r="80">
      <c r="A80" s="88" t="inlineStr">
        <is>
          <t>Hugo (741)</t>
        </is>
      </c>
      <c r="B80" s="89" t="n">
        <v>741</v>
      </c>
      <c r="C80" s="89" t="inlineStr">
        <is>
          <t>P-311</t>
        </is>
      </c>
      <c r="D80" s="89" t="inlineStr">
        <is>
          <t>Escalera</t>
        </is>
      </c>
      <c r="E80" s="89" t="inlineStr">
        <is>
          <t>AG3</t>
        </is>
      </c>
      <c r="F80" s="111" t="n">
        <v>12</v>
      </c>
      <c r="G80" s="129" t="n">
        <v>4</v>
      </c>
      <c r="H80" s="129" t="n"/>
      <c r="I80" s="129" t="n">
        <v>1.6</v>
      </c>
      <c r="J80" s="129" t="n"/>
      <c r="K80" s="129" t="n"/>
      <c r="L80" s="129" t="n"/>
      <c r="M80" s="129" t="n"/>
      <c r="N80" s="130">
        <f>IF(SUM(G80:M80)=0,"",SUM(G80:M80))</f>
        <v/>
      </c>
      <c r="O80" s="131">
        <f>IF(OR(F80="",N80="",N80=0),"",ROUND(F80*N80,2))</f>
        <v/>
      </c>
      <c r="P80" s="93" t="n"/>
    </row>
    <row r="81">
      <c r="A81" s="100" t="inlineStr">
        <is>
          <t>Hugo (741)</t>
        </is>
      </c>
      <c r="B81" s="101" t="n">
        <v>741</v>
      </c>
      <c r="C81" s="101" t="inlineStr">
        <is>
          <t>P-311</t>
        </is>
      </c>
      <c r="D81" s="101" t="inlineStr">
        <is>
          <t>Escalera</t>
        </is>
      </c>
      <c r="E81" s="101" t="inlineStr">
        <is>
          <t>DOL</t>
        </is>
      </c>
      <c r="F81" s="113" t="n">
        <v>13</v>
      </c>
      <c r="G81" s="135" t="n"/>
      <c r="H81" s="135" t="n">
        <v>2.2</v>
      </c>
      <c r="I81" s="135" t="n"/>
      <c r="J81" s="135" t="n"/>
      <c r="K81" s="135" t="n"/>
      <c r="L81" s="135" t="n"/>
      <c r="M81" s="135" t="n"/>
      <c r="N81" s="136">
        <f>IF(SUM(G81:M81)=0,"",SUM(G81:M81))</f>
        <v/>
      </c>
      <c r="O81" s="137">
        <f>IF(OR(F81="",N81="",N81=0),"",ROUND(F81*N81,2))</f>
        <v/>
      </c>
      <c r="P81" s="105" t="n"/>
    </row>
    <row r="82">
      <c r="A82" s="88" t="inlineStr">
        <is>
          <t>Molina</t>
        </is>
      </c>
      <c r="B82" s="89" t="n">
        <v>754</v>
      </c>
      <c r="C82" s="89" t="inlineStr">
        <is>
          <t>F-023-B</t>
        </is>
      </c>
      <c r="D82" s="89" t="inlineStr">
        <is>
          <t>Sentella</t>
        </is>
      </c>
      <c r="E82" s="89" t="inlineStr">
        <is>
          <t>AG3</t>
        </is>
      </c>
      <c r="F82" s="111" t="n">
        <v>12</v>
      </c>
      <c r="G82" s="129" t="n"/>
      <c r="H82" s="129" t="n">
        <v>2.2</v>
      </c>
      <c r="I82" s="129" t="n"/>
      <c r="J82" s="129" t="n"/>
      <c r="K82" s="129" t="n"/>
      <c r="L82" s="129" t="n"/>
      <c r="M82" s="129" t="n"/>
      <c r="N82" s="130">
        <f>IF(SUM(G82:M82)=0,"",SUM(G82:M82))</f>
        <v/>
      </c>
      <c r="O82" s="131">
        <f>IF(OR(F82="",N82="",N82=0),"",ROUND(F82*N82,2))</f>
        <v/>
      </c>
      <c r="P82" s="93" t="n"/>
    </row>
    <row r="83">
      <c r="A83" s="88" t="inlineStr">
        <is>
          <t>Angel (756)</t>
        </is>
      </c>
      <c r="B83" s="89" t="n">
        <v>756</v>
      </c>
      <c r="C83" s="89" t="inlineStr">
        <is>
          <t>EXT</t>
        </is>
      </c>
      <c r="D83" s="89" t="inlineStr">
        <is>
          <t>Extensibles</t>
        </is>
      </c>
      <c r="E83" s="89" t="inlineStr">
        <is>
          <t>AG3</t>
        </is>
      </c>
      <c r="F83" s="111" t="n"/>
      <c r="G83" s="129" t="n"/>
      <c r="H83" s="129" t="n"/>
      <c r="I83" s="129" t="n">
        <v>2.3</v>
      </c>
      <c r="J83" s="129" t="n">
        <v>0.8</v>
      </c>
      <c r="K83" s="129" t="n"/>
      <c r="L83" s="129" t="n"/>
      <c r="M83" s="129" t="n"/>
      <c r="N83" s="130">
        <f>IF(SUM(G83:M83)=0,"",SUM(G83:M83))</f>
        <v/>
      </c>
      <c r="O83" s="131">
        <f>IF(OR(F83="",N83="",N83=0),"",ROUND(F83*N83,2))</f>
        <v/>
      </c>
      <c r="P83" s="93" t="n"/>
    </row>
    <row r="84">
      <c r="A84" s="88" t="inlineStr">
        <is>
          <t>Angel (756)</t>
        </is>
      </c>
      <c r="B84" s="89" t="n">
        <v>756</v>
      </c>
      <c r="C84" s="89" t="inlineStr">
        <is>
          <t>F-019-12</t>
        </is>
      </c>
      <c r="D84" s="89" t="inlineStr">
        <is>
          <t>Punta Diamante</t>
        </is>
      </c>
      <c r="E84" s="89" t="inlineStr">
        <is>
          <t>AG3</t>
        </is>
      </c>
      <c r="F84" s="111" t="n">
        <v>13</v>
      </c>
      <c r="G84" s="129" t="n"/>
      <c r="H84" s="129" t="n"/>
      <c r="I84" s="129" t="n"/>
      <c r="J84" s="129" t="n"/>
      <c r="K84" s="129" t="n"/>
      <c r="L84" s="129" t="n"/>
      <c r="M84" s="129" t="n"/>
      <c r="N84" s="130">
        <f>IF(SUM(G84:M84)=0,"",SUM(G84:M84))</f>
        <v/>
      </c>
      <c r="O84" s="131">
        <f>IF(OR(F84="",N84="",N84=0),"",ROUND(F84*N84,2))</f>
        <v/>
      </c>
      <c r="P84" s="93" t="n"/>
    </row>
    <row r="85">
      <c r="A85" s="88" t="inlineStr">
        <is>
          <t>Angel (756)</t>
        </is>
      </c>
      <c r="B85" s="89" t="n">
        <v>756</v>
      </c>
      <c r="C85" s="89" t="inlineStr">
        <is>
          <t>P-215</t>
        </is>
      </c>
      <c r="D85" s="89" t="inlineStr">
        <is>
          <t>Mil Hojas</t>
        </is>
      </c>
      <c r="E85" s="89" t="inlineStr">
        <is>
          <t>AG3</t>
        </is>
      </c>
      <c r="F85" s="111" t="n">
        <v>16</v>
      </c>
      <c r="G85" s="129" t="n">
        <v>5.3</v>
      </c>
      <c r="H85" s="129" t="n">
        <v>3.8</v>
      </c>
      <c r="I85" s="129" t="n">
        <v>12.5</v>
      </c>
      <c r="J85" s="129" t="n"/>
      <c r="K85" s="129" t="n"/>
      <c r="L85" s="129" t="n"/>
      <c r="M85" s="129" t="n"/>
      <c r="N85" s="130">
        <f>IF(SUM(G85:M85)=0,"",SUM(G85:M85))</f>
        <v/>
      </c>
      <c r="O85" s="131">
        <f>IF(OR(F85="",N85="",N85=0),"",ROUND(F85*N85,2))</f>
        <v/>
      </c>
      <c r="P85" s="93" t="n"/>
    </row>
    <row r="86">
      <c r="A86" s="88" t="inlineStr">
        <is>
          <t>Angel (756)</t>
        </is>
      </c>
      <c r="B86" s="89" t="n">
        <v>756</v>
      </c>
      <c r="C86" s="89" t="inlineStr">
        <is>
          <t>P-340</t>
        </is>
      </c>
      <c r="D86" s="89" t="inlineStr">
        <is>
          <t>Bolso</t>
        </is>
      </c>
      <c r="E86" s="89" t="inlineStr">
        <is>
          <t>AG3</t>
        </is>
      </c>
      <c r="F86" s="111" t="n"/>
      <c r="G86" s="129" t="n"/>
      <c r="H86" s="129" t="n"/>
      <c r="I86" s="129" t="n">
        <v>13</v>
      </c>
      <c r="J86" s="129" t="n"/>
      <c r="K86" s="129" t="n"/>
      <c r="L86" s="129" t="n"/>
      <c r="M86" s="129" t="n"/>
      <c r="N86" s="130">
        <f>IF(SUM(G86:M86)=0,"",SUM(G86:M86))</f>
        <v/>
      </c>
      <c r="O86" s="131">
        <f>IF(OR(F86="",N86="",N86=0),"",ROUND(F86*N86,2))</f>
        <v/>
      </c>
      <c r="P86" s="93" t="n"/>
    </row>
    <row r="87">
      <c r="A87" s="88" t="inlineStr">
        <is>
          <t>Alfredo (757)</t>
        </is>
      </c>
      <c r="B87" s="89" t="n">
        <v>757</v>
      </c>
      <c r="C87" s="89" t="inlineStr">
        <is>
          <t>F-019-W</t>
        </is>
      </c>
      <c r="D87" s="89" t="inlineStr">
        <is>
          <t>Versace</t>
        </is>
      </c>
      <c r="E87" s="89" t="inlineStr">
        <is>
          <t>AG3</t>
        </is>
      </c>
      <c r="F87" s="111" t="n">
        <v>12</v>
      </c>
      <c r="G87" s="129" t="n"/>
      <c r="H87" s="129" t="n"/>
      <c r="I87" s="129" t="n"/>
      <c r="J87" s="129" t="n"/>
      <c r="K87" s="129" t="n"/>
      <c r="L87" s="129" t="n"/>
      <c r="M87" s="129" t="n"/>
      <c r="N87" s="130">
        <f>IF(SUM(G87:M87)=0,"",SUM(G87:M87))</f>
        <v/>
      </c>
      <c r="O87" s="131">
        <f>IF(OR(F87="",N87="",N87=0),"",ROUND(F87*N87,2))</f>
        <v/>
      </c>
      <c r="P87" s="93" t="n"/>
    </row>
    <row r="88">
      <c r="A88" s="88" t="inlineStr">
        <is>
          <t>Daniel</t>
        </is>
      </c>
      <c r="B88" s="89" t="n">
        <v>772</v>
      </c>
      <c r="C88" s="89" t="inlineStr">
        <is>
          <t>ST-48</t>
        </is>
      </c>
      <c r="D88" s="89" t="inlineStr">
        <is>
          <t>Cubos</t>
        </is>
      </c>
      <c r="E88" s="89" t="inlineStr">
        <is>
          <t>AG3</t>
        </is>
      </c>
      <c r="F88" s="111" t="n">
        <v>12</v>
      </c>
      <c r="G88" s="129" t="n"/>
      <c r="H88" s="129" t="n"/>
      <c r="I88" s="129" t="n"/>
      <c r="J88" s="129" t="n"/>
      <c r="K88" s="129" t="n"/>
      <c r="L88" s="129" t="n"/>
      <c r="M88" s="129" t="n"/>
      <c r="N88" s="130">
        <f>IF(SUM(G88:M88)=0,"",SUM(G88:M88))</f>
        <v/>
      </c>
      <c r="O88" s="131">
        <f>IF(OR(F88="",N88="",N88=0),"",ROUND(F88*N88,2))</f>
        <v/>
      </c>
      <c r="P88" s="93" t="n"/>
    </row>
    <row r="89">
      <c r="A89" s="88" t="inlineStr">
        <is>
          <t>Brian</t>
        </is>
      </c>
      <c r="B89" s="89" t="n">
        <v>776</v>
      </c>
      <c r="C89" s="89" t="inlineStr">
        <is>
          <t>F-019-X</t>
        </is>
      </c>
      <c r="D89" s="89" t="inlineStr">
        <is>
          <t>Aros</t>
        </is>
      </c>
      <c r="E89" s="89" t="inlineStr">
        <is>
          <t>AG3</t>
        </is>
      </c>
      <c r="F89" s="111" t="n">
        <v>14</v>
      </c>
      <c r="G89" s="129" t="n"/>
      <c r="H89" s="129" t="n"/>
      <c r="I89" s="129" t="n"/>
      <c r="J89" s="129" t="n"/>
      <c r="K89" s="129" t="n"/>
      <c r="L89" s="129" t="n"/>
      <c r="M89" s="129" t="n"/>
      <c r="N89" s="130">
        <f>IF(SUM(G89:M89)=0,"",SUM(G89:M89))</f>
        <v/>
      </c>
      <c r="O89" s="131">
        <f>IF(OR(F89="",N89="",N89=0),"",ROUND(F89*N89,2))</f>
        <v/>
      </c>
      <c r="P89" s="93" t="n"/>
    </row>
    <row r="90">
      <c r="A90" s="88" t="inlineStr">
        <is>
          <t>Brian</t>
        </is>
      </c>
      <c r="B90" s="89" t="n">
        <v>776</v>
      </c>
      <c r="C90" s="89" t="inlineStr">
        <is>
          <t>P-327</t>
        </is>
      </c>
      <c r="D90" s="89" t="inlineStr">
        <is>
          <t>Animales</t>
        </is>
      </c>
      <c r="E90" s="89" t="inlineStr">
        <is>
          <t>AG3</t>
        </is>
      </c>
      <c r="F90" s="111" t="n">
        <v>13</v>
      </c>
      <c r="G90" s="129" t="n"/>
      <c r="H90" s="129" t="n"/>
      <c r="I90" s="129" t="n"/>
      <c r="J90" s="129" t="n"/>
      <c r="K90" s="129" t="n"/>
      <c r="L90" s="129" t="n"/>
      <c r="M90" s="129" t="n"/>
      <c r="N90" s="130">
        <f>IF(SUM(G90:M90)=0,"",SUM(G90:M90))</f>
        <v/>
      </c>
      <c r="O90" s="131">
        <f>IF(OR(F90="",N90="",N90=0),"",ROUND(F90*N90,2))</f>
        <v/>
      </c>
      <c r="P90" s="93" t="n"/>
    </row>
    <row r="91">
      <c r="A91" s="88" t="inlineStr">
        <is>
          <t>William</t>
        </is>
      </c>
      <c r="B91" s="89" t="n">
        <v>776</v>
      </c>
      <c r="C91" s="89" t="inlineStr">
        <is>
          <t>ST-188</t>
        </is>
      </c>
      <c r="D91" s="89" t="inlineStr">
        <is>
          <t>Cubos</t>
        </is>
      </c>
      <c r="E91" s="89" t="inlineStr">
        <is>
          <t>AG3</t>
        </is>
      </c>
      <c r="F91" s="111" t="n">
        <v>12</v>
      </c>
      <c r="G91" s="129" t="n"/>
      <c r="H91" s="129" t="n"/>
      <c r="I91" s="129" t="n"/>
      <c r="J91" s="129" t="n"/>
      <c r="K91" s="129" t="n"/>
      <c r="L91" s="129" t="n"/>
      <c r="M91" s="129" t="n"/>
      <c r="N91" s="130">
        <f>IF(SUM(G91:M91)=0,"",SUM(G91:M91))</f>
        <v/>
      </c>
      <c r="O91" s="131">
        <f>IF(OR(F91="",N91="",N91=0),"",ROUND(F91*N91,2))</f>
        <v/>
      </c>
      <c r="P91" s="93" t="n"/>
    </row>
    <row r="92">
      <c r="A92" s="88" t="inlineStr">
        <is>
          <t>William</t>
        </is>
      </c>
      <c r="B92" s="89" t="n">
        <v>776</v>
      </c>
      <c r="C92" s="89" t="inlineStr">
        <is>
          <t>ST-216</t>
        </is>
      </c>
      <c r="D92" s="89" t="inlineStr">
        <is>
          <t>Sentellas</t>
        </is>
      </c>
      <c r="E92" s="89" t="inlineStr">
        <is>
          <t>AG3</t>
        </is>
      </c>
      <c r="F92" s="111" t="n">
        <v>12</v>
      </c>
      <c r="G92" s="129" t="n">
        <v>9.9</v>
      </c>
      <c r="H92" s="129" t="n">
        <v>5.5</v>
      </c>
      <c r="I92" s="129" t="n">
        <v>2</v>
      </c>
      <c r="J92" s="129" t="n"/>
      <c r="K92" s="129" t="n"/>
      <c r="L92" s="129" t="n"/>
      <c r="M92" s="129" t="n"/>
      <c r="N92" s="130">
        <f>IF(SUM(G92:M92)=0,"",SUM(G92:M92))</f>
        <v/>
      </c>
      <c r="O92" s="131">
        <f>IF(OR(F92="",N92="",N92=0),"",ROUND(F92*N92,2))</f>
        <v/>
      </c>
      <c r="P92" s="93" t="n"/>
    </row>
    <row r="93">
      <c r="A93" s="88" t="inlineStr">
        <is>
          <t>Cristian (815)</t>
        </is>
      </c>
      <c r="B93" s="89" t="n">
        <v>815</v>
      </c>
      <c r="C93" s="89" t="inlineStr">
        <is>
          <t>P-310</t>
        </is>
      </c>
      <c r="D93" s="89" t="inlineStr">
        <is>
          <t>Diamante</t>
        </is>
      </c>
      <c r="E93" s="89" t="inlineStr">
        <is>
          <t>AG3</t>
        </is>
      </c>
      <c r="F93" s="111" t="n">
        <v>12</v>
      </c>
      <c r="G93" s="129" t="n"/>
      <c r="H93" s="129" t="n"/>
      <c r="I93" s="129" t="n"/>
      <c r="J93" s="129" t="n"/>
      <c r="K93" s="129" t="n"/>
      <c r="L93" s="129" t="n"/>
      <c r="M93" s="129" t="n"/>
      <c r="N93" s="130">
        <f>IF(SUM(G93:M93)=0,"",SUM(G93:M93))</f>
        <v/>
      </c>
      <c r="O93" s="131">
        <f>IF(OR(F93="",N93="",N93=0),"",ROUND(F93*N93,2))</f>
        <v/>
      </c>
      <c r="P93" s="93" t="n"/>
    </row>
    <row r="94">
      <c r="A94" s="100" t="inlineStr">
        <is>
          <t>Cristian (815)</t>
        </is>
      </c>
      <c r="B94" s="101" t="n">
        <v>815</v>
      </c>
      <c r="C94" s="101" t="inlineStr">
        <is>
          <t>P-310</t>
        </is>
      </c>
      <c r="D94" s="101" t="inlineStr">
        <is>
          <t>Diamante</t>
        </is>
      </c>
      <c r="E94" s="101" t="inlineStr">
        <is>
          <t>DOL</t>
        </is>
      </c>
      <c r="F94" s="113" t="n">
        <v>13</v>
      </c>
      <c r="G94" s="135" t="n"/>
      <c r="H94" s="135" t="n"/>
      <c r="I94" s="135" t="n"/>
      <c r="J94" s="135" t="n"/>
      <c r="K94" s="135" t="n"/>
      <c r="L94" s="135" t="n"/>
      <c r="M94" s="135" t="n"/>
      <c r="N94" s="136">
        <f>IF(SUM(G94:M94)=0,"",SUM(G94:M94))</f>
        <v/>
      </c>
      <c r="O94" s="137">
        <f>IF(OR(F94="",N94="",N94=0),"",ROUND(F94*N94,2))</f>
        <v/>
      </c>
      <c r="P94" s="105" t="n"/>
    </row>
    <row r="95">
      <c r="A95" s="88" t="inlineStr">
        <is>
          <t>Martín López</t>
        </is>
      </c>
      <c r="B95" s="89" t="n">
        <v>815</v>
      </c>
      <c r="C95" s="89" t="inlineStr">
        <is>
          <t>ST-209</t>
        </is>
      </c>
      <c r="D95" s="89" t="inlineStr">
        <is>
          <t>Cubos</t>
        </is>
      </c>
      <c r="E95" s="89" t="inlineStr">
        <is>
          <t>AG3</t>
        </is>
      </c>
      <c r="F95" s="111" t="n">
        <v>12</v>
      </c>
      <c r="G95" s="129" t="n">
        <v>7.8</v>
      </c>
      <c r="H95" s="129" t="n"/>
      <c r="I95" s="129" t="n">
        <v>4.7</v>
      </c>
      <c r="J95" s="129" t="n"/>
      <c r="K95" s="129" t="n"/>
      <c r="L95" s="129" t="n"/>
      <c r="M95" s="129" t="n"/>
      <c r="N95" s="130">
        <f>IF(SUM(G95:M95)=0,"",SUM(G95:M95))</f>
        <v/>
      </c>
      <c r="O95" s="131">
        <f>IF(OR(F95="",N95="",N95=0),"",ROUND(F95*N95,2))</f>
        <v/>
      </c>
      <c r="P95" s="93" t="n"/>
    </row>
    <row r="96">
      <c r="A96" s="88" t="inlineStr">
        <is>
          <t>Ricardo Tapetillo</t>
        </is>
      </c>
      <c r="B96" s="89" t="n">
        <v>817</v>
      </c>
      <c r="C96" s="89" t="inlineStr">
        <is>
          <t>F-019-H</t>
        </is>
      </c>
      <c r="D96" s="89" t="inlineStr">
        <is>
          <t>Guia</t>
        </is>
      </c>
      <c r="E96" s="89" t="inlineStr">
        <is>
          <t>AG3</t>
        </is>
      </c>
      <c r="F96" s="111" t="n">
        <v>12</v>
      </c>
      <c r="G96" s="129" t="n"/>
      <c r="H96" s="129" t="n"/>
      <c r="I96" s="129" t="n"/>
      <c r="J96" s="129" t="n"/>
      <c r="K96" s="129" t="n"/>
      <c r="L96" s="129" t="n"/>
      <c r="M96" s="129" t="n"/>
      <c r="N96" s="130">
        <f>IF(SUM(G96:M96)=0,"",SUM(G96:M96))</f>
        <v/>
      </c>
      <c r="O96" s="131">
        <f>IF(OR(F96="",N96="",N96=0),"",ROUND(F96*N96,2))</f>
        <v/>
      </c>
      <c r="P96" s="93" t="n"/>
    </row>
    <row r="97">
      <c r="A97" s="88" t="inlineStr">
        <is>
          <t>Ricardo Tapetillo</t>
        </is>
      </c>
      <c r="B97" s="89" t="n">
        <v>817</v>
      </c>
      <c r="C97" s="89" t="inlineStr">
        <is>
          <t>ST-223</t>
        </is>
      </c>
      <c r="D97" s="89" t="inlineStr">
        <is>
          <t>Rombos</t>
        </is>
      </c>
      <c r="E97" s="89" t="inlineStr">
        <is>
          <t>AG3</t>
        </is>
      </c>
      <c r="F97" s="111" t="n">
        <v>12</v>
      </c>
      <c r="G97" s="129" t="n">
        <v>6.8</v>
      </c>
      <c r="H97" s="129" t="n">
        <v>8.4</v>
      </c>
      <c r="I97" s="129" t="n"/>
      <c r="J97" s="129" t="n"/>
      <c r="K97" s="129" t="n"/>
      <c r="L97" s="129" t="n"/>
      <c r="M97" s="129" t="n"/>
      <c r="N97" s="130">
        <f>IF(SUM(G97:M97)=0,"",SUM(G97:M97))</f>
        <v/>
      </c>
      <c r="O97" s="131">
        <f>IF(OR(F97="",N97="",N97=0),"",ROUND(F97*N97,2))</f>
        <v/>
      </c>
      <c r="P97" s="93" t="n"/>
    </row>
    <row r="98">
      <c r="A98" s="88" t="inlineStr">
        <is>
          <t>José de los Santos</t>
        </is>
      </c>
      <c r="B98" s="89" t="n">
        <v>822</v>
      </c>
      <c r="C98" s="89" t="inlineStr">
        <is>
          <t>F-19-9</t>
        </is>
      </c>
      <c r="D98" s="89" t="inlineStr">
        <is>
          <t>Aros</t>
        </is>
      </c>
      <c r="E98" s="89" t="inlineStr">
        <is>
          <t>AG3</t>
        </is>
      </c>
      <c r="F98" s="111" t="n">
        <v>13</v>
      </c>
      <c r="G98" s="129" t="n">
        <v>3.1</v>
      </c>
      <c r="H98" s="129" t="n"/>
      <c r="I98" s="129" t="n"/>
      <c r="J98" s="129" t="n"/>
      <c r="K98" s="129" t="n"/>
      <c r="L98" s="129" t="n"/>
      <c r="M98" s="129" t="n"/>
      <c r="N98" s="130">
        <f>IF(SUM(G98:M98)=0,"",SUM(G98:M98))</f>
        <v/>
      </c>
      <c r="O98" s="131">
        <f>IF(OR(F98="",N98="",N98=0),"",ROUND(F98*N98,2))</f>
        <v/>
      </c>
      <c r="P98" s="93" t="n"/>
    </row>
    <row r="99">
      <c r="A99" s="88" t="inlineStr">
        <is>
          <t>Erick Valerio Quezada</t>
        </is>
      </c>
      <c r="B99" s="89" t="n">
        <v>827</v>
      </c>
      <c r="C99" s="89" t="inlineStr">
        <is>
          <t>ST-229</t>
        </is>
      </c>
      <c r="D99" s="89" t="inlineStr">
        <is>
          <t>Cubos</t>
        </is>
      </c>
      <c r="E99" s="89" t="inlineStr">
        <is>
          <t>AG3</t>
        </is>
      </c>
      <c r="F99" s="111" t="n">
        <v>12</v>
      </c>
      <c r="G99" s="129" t="n">
        <v>8.199999999999999</v>
      </c>
      <c r="H99" s="129" t="n">
        <v>7.1</v>
      </c>
      <c r="I99" s="129" t="n"/>
      <c r="J99" s="129" t="n"/>
      <c r="K99" s="129" t="n"/>
      <c r="L99" s="129" t="n"/>
      <c r="M99" s="129" t="n"/>
      <c r="N99" s="130">
        <f>IF(SUM(G99:M99)=0,"",SUM(G99:M99))</f>
        <v/>
      </c>
      <c r="O99" s="131">
        <f>IF(OR(F99="",N99="",N99=0),"",ROUND(F99*N99,2))</f>
        <v/>
      </c>
      <c r="P99" s="93" t="n"/>
    </row>
    <row r="100">
      <c r="A100" s="88" t="inlineStr">
        <is>
          <t>Cristian (832)</t>
        </is>
      </c>
      <c r="B100" s="89" t="n">
        <v>832</v>
      </c>
      <c r="C100" s="89" t="inlineStr">
        <is>
          <t>ST-206</t>
        </is>
      </c>
      <c r="D100" s="89" t="inlineStr">
        <is>
          <t>Centellas</t>
        </is>
      </c>
      <c r="E100" s="89" t="inlineStr">
        <is>
          <t>AG3</t>
        </is>
      </c>
      <c r="F100" s="111" t="n">
        <v>12</v>
      </c>
      <c r="G100" s="129" t="n">
        <v>3.8</v>
      </c>
      <c r="H100" s="129" t="n"/>
      <c r="I100" s="129" t="n">
        <v>4.2</v>
      </c>
      <c r="J100" s="129" t="n"/>
      <c r="K100" s="129" t="n"/>
      <c r="L100" s="129" t="n"/>
      <c r="M100" s="129" t="n"/>
      <c r="N100" s="130">
        <f>IF(SUM(G100:M100)=0,"",SUM(G100:M100))</f>
        <v/>
      </c>
      <c r="O100" s="131">
        <f>IF(OR(F100="",N100="",N100=0),"",ROUND(F100*N100,2))</f>
        <v/>
      </c>
      <c r="P100" s="93" t="n"/>
    </row>
    <row r="101">
      <c r="A101" s="88" t="inlineStr">
        <is>
          <t>Sergio</t>
        </is>
      </c>
      <c r="B101" s="89" t="n">
        <v>832</v>
      </c>
      <c r="C101" s="89" t="inlineStr">
        <is>
          <t>P-334</t>
        </is>
      </c>
      <c r="D101" s="89" t="inlineStr">
        <is>
          <t>Cubos</t>
        </is>
      </c>
      <c r="E101" s="89" t="inlineStr">
        <is>
          <t>AG3</t>
        </is>
      </c>
      <c r="F101" s="111" t="n">
        <v>12</v>
      </c>
      <c r="G101" s="129" t="n">
        <v>17.8</v>
      </c>
      <c r="H101" s="129" t="n">
        <v>3.5</v>
      </c>
      <c r="I101" s="129" t="n">
        <v>3.2</v>
      </c>
      <c r="J101" s="129" t="n"/>
      <c r="K101" s="129" t="n"/>
      <c r="L101" s="129" t="n"/>
      <c r="M101" s="129" t="n"/>
      <c r="N101" s="130">
        <f>IF(SUM(G101:M101)=0,"",SUM(G101:M101))</f>
        <v/>
      </c>
      <c r="O101" s="131">
        <f>IF(OR(F101="",N101="",N101=0),"",ROUND(F101*N101,2))</f>
        <v/>
      </c>
      <c r="P101" s="93" t="n"/>
    </row>
    <row r="102">
      <c r="A102" s="88" t="inlineStr">
        <is>
          <t>Luis (833)</t>
        </is>
      </c>
      <c r="B102" s="89" t="n">
        <v>833</v>
      </c>
      <c r="C102" s="89" t="inlineStr">
        <is>
          <t>ST-220</t>
        </is>
      </c>
      <c r="D102" s="89" t="inlineStr">
        <is>
          <t>Cadena</t>
        </is>
      </c>
      <c r="E102" s="89" t="inlineStr">
        <is>
          <t>AG3</t>
        </is>
      </c>
      <c r="F102" s="111" t="n">
        <v>12</v>
      </c>
      <c r="G102" s="129" t="n">
        <v>4.6</v>
      </c>
      <c r="H102" s="129" t="n">
        <v>4.1</v>
      </c>
      <c r="I102" s="129" t="n"/>
      <c r="J102" s="129" t="n"/>
      <c r="K102" s="129" t="n"/>
      <c r="L102" s="129" t="n"/>
      <c r="M102" s="129" t="n"/>
      <c r="N102" s="130">
        <f>IF(SUM(G102:M102)=0,"",SUM(G102:M102))</f>
        <v/>
      </c>
      <c r="O102" s="131">
        <f>IF(OR(F102="",N102="",N102=0),"",ROUND(F102*N102,2))</f>
        <v/>
      </c>
      <c r="P102" s="93" t="n"/>
    </row>
    <row r="103">
      <c r="A103" s="88" t="inlineStr">
        <is>
          <t>Uriel Andrés</t>
        </is>
      </c>
      <c r="B103" s="89" t="n">
        <v>843</v>
      </c>
      <c r="C103" s="89" t="inlineStr">
        <is>
          <t>ST-221</t>
        </is>
      </c>
      <c r="D103" s="89" t="inlineStr">
        <is>
          <t>5Cordones</t>
        </is>
      </c>
      <c r="E103" s="89" t="inlineStr">
        <is>
          <t>AG3</t>
        </is>
      </c>
      <c r="F103" s="111" t="n">
        <v>12</v>
      </c>
      <c r="G103" s="129" t="n">
        <v>3.6</v>
      </c>
      <c r="H103" s="129" t="n">
        <v>8.199999999999999</v>
      </c>
      <c r="I103" s="129" t="n"/>
      <c r="J103" s="129" t="n"/>
      <c r="K103" s="129" t="n"/>
      <c r="L103" s="129" t="n"/>
      <c r="M103" s="129" t="n"/>
      <c r="N103" s="130">
        <f>IF(SUM(G103:M103)=0,"",SUM(G103:M103))</f>
        <v/>
      </c>
      <c r="O103" s="131">
        <f>IF(OR(F103="",N103="",N103=0),"",ROUND(F103*N103,2))</f>
        <v/>
      </c>
      <c r="P103" s="93" t="n"/>
    </row>
    <row r="104">
      <c r="A104" s="88" t="inlineStr">
        <is>
          <t>Ernesto Munguía Hernández</t>
        </is>
      </c>
      <c r="B104" s="89" t="n">
        <v>844</v>
      </c>
      <c r="C104" s="89" t="inlineStr">
        <is>
          <t>P-292</t>
        </is>
      </c>
      <c r="D104" s="89" t="inlineStr">
        <is>
          <t>Aros</t>
        </is>
      </c>
      <c r="E104" s="89" t="inlineStr">
        <is>
          <t>AG3</t>
        </is>
      </c>
      <c r="F104" s="111" t="n">
        <v>14</v>
      </c>
      <c r="G104" s="129" t="n"/>
      <c r="H104" s="129" t="n">
        <v>5.3</v>
      </c>
      <c r="I104" s="129" t="n"/>
      <c r="J104" s="129" t="n"/>
      <c r="K104" s="129" t="n"/>
      <c r="L104" s="129" t="n"/>
      <c r="M104" s="129" t="n"/>
      <c r="N104" s="130">
        <f>IF(SUM(G104:M104)=0,"",SUM(G104:M104))</f>
        <v/>
      </c>
      <c r="O104" s="131">
        <f>IF(OR(F104="",N104="",N104=0),"",ROUND(F104*N104,2))</f>
        <v/>
      </c>
      <c r="P104" s="93" t="n"/>
    </row>
    <row r="105">
      <c r="A105" s="88" t="inlineStr">
        <is>
          <t>Hector Melecio</t>
        </is>
      </c>
      <c r="B105" s="89" t="n">
        <v>852</v>
      </c>
      <c r="C105" s="89" t="inlineStr">
        <is>
          <t>F-019-5</t>
        </is>
      </c>
      <c r="D105" s="89" t="inlineStr">
        <is>
          <t>Versace</t>
        </is>
      </c>
      <c r="E105" s="89" t="inlineStr">
        <is>
          <t>AG3</t>
        </is>
      </c>
      <c r="F105" s="111" t="n">
        <v>12</v>
      </c>
      <c r="G105" s="129" t="n"/>
      <c r="H105" s="129" t="n"/>
      <c r="I105" s="129" t="n"/>
      <c r="J105" s="129" t="n"/>
      <c r="K105" s="129" t="n"/>
      <c r="L105" s="129" t="n"/>
      <c r="M105" s="129" t="n"/>
      <c r="N105" s="130">
        <f>IF(SUM(G105:M105)=0,"",SUM(G105:M105))</f>
        <v/>
      </c>
      <c r="O105" s="131">
        <f>IF(OR(F105="",N105="",N105=0),"",ROUND(F105*N105,2))</f>
        <v/>
      </c>
      <c r="P105" s="93" t="n"/>
    </row>
    <row r="106">
      <c r="A106" s="88" t="inlineStr">
        <is>
          <t>Jorge</t>
        </is>
      </c>
      <c r="B106" s="89" t="n">
        <v>867</v>
      </c>
      <c r="C106" s="89" t="inlineStr">
        <is>
          <t>P-309</t>
        </is>
      </c>
      <c r="D106" s="89" t="inlineStr">
        <is>
          <t>Gallo</t>
        </is>
      </c>
      <c r="E106" s="89" t="inlineStr">
        <is>
          <t>AG3</t>
        </is>
      </c>
      <c r="F106" s="111" t="n">
        <v>13</v>
      </c>
      <c r="G106" s="129" t="n">
        <v>3.1</v>
      </c>
      <c r="H106" s="129" t="n">
        <v>4.1</v>
      </c>
      <c r="I106" s="129" t="n"/>
      <c r="J106" s="129" t="n"/>
      <c r="K106" s="129" t="n"/>
      <c r="L106" s="129" t="n"/>
      <c r="M106" s="129" t="n"/>
      <c r="N106" s="130">
        <f>IF(SUM(G106:M106)=0,"",SUM(G106:M106))</f>
        <v/>
      </c>
      <c r="O106" s="131">
        <f>IF(OR(F106="",N106="",N106=0),"",ROUND(F106*N106,2))</f>
        <v/>
      </c>
      <c r="P106" s="93" t="n"/>
    </row>
    <row r="107">
      <c r="A107" s="100" t="inlineStr">
        <is>
          <t>Jorge</t>
        </is>
      </c>
      <c r="B107" s="101" t="n">
        <v>867</v>
      </c>
      <c r="C107" s="101" t="inlineStr">
        <is>
          <t>P-309</t>
        </is>
      </c>
      <c r="D107" s="101" t="inlineStr">
        <is>
          <t>Gallo</t>
        </is>
      </c>
      <c r="E107" s="101" t="inlineStr">
        <is>
          <t>DOL</t>
        </is>
      </c>
      <c r="F107" s="113" t="n">
        <v>13</v>
      </c>
      <c r="G107" s="135" t="n"/>
      <c r="H107" s="135" t="n"/>
      <c r="I107" s="135" t="n">
        <v>5.1</v>
      </c>
      <c r="J107" s="135" t="n"/>
      <c r="K107" s="135" t="n"/>
      <c r="L107" s="135" t="n"/>
      <c r="M107" s="135" t="n"/>
      <c r="N107" s="136">
        <f>IF(SUM(G107:M107)=0,"",SUM(G107:M107))</f>
        <v/>
      </c>
      <c r="O107" s="137">
        <f>IF(OR(F107="",N107="",N107=0),"",ROUND(F107*N107,2))</f>
        <v/>
      </c>
      <c r="P107" s="105" t="n"/>
    </row>
    <row r="108">
      <c r="A108" s="100" t="inlineStr">
        <is>
          <t>Ricardo</t>
        </is>
      </c>
      <c r="B108" s="101" t="n">
        <v>868</v>
      </c>
      <c r="C108" s="101" t="inlineStr">
        <is>
          <t>P-302</t>
        </is>
      </c>
      <c r="D108" s="101" t="inlineStr">
        <is>
          <t>Versace</t>
        </is>
      </c>
      <c r="E108" s="101" t="inlineStr">
        <is>
          <t>DOL</t>
        </is>
      </c>
      <c r="F108" s="113" t="n">
        <v>13</v>
      </c>
      <c r="G108" s="135" t="n"/>
      <c r="H108" s="135" t="n"/>
      <c r="I108" s="135" t="n"/>
      <c r="J108" s="135" t="n"/>
      <c r="K108" s="135" t="n"/>
      <c r="L108" s="135" t="n"/>
      <c r="M108" s="135" t="n"/>
      <c r="N108" s="136">
        <f>IF(SUM(G108:M108)=0,"",SUM(G108:M108))</f>
        <v/>
      </c>
      <c r="O108" s="137">
        <f>IF(OR(F108="",N108="",N108=0),"",ROUND(F108*N108,2))</f>
        <v/>
      </c>
      <c r="P108" s="105" t="n"/>
    </row>
    <row r="109">
      <c r="A109" s="88" t="inlineStr">
        <is>
          <t>Ricardo</t>
        </is>
      </c>
      <c r="B109" s="89" t="n">
        <v>868</v>
      </c>
      <c r="C109" s="89" t="inlineStr">
        <is>
          <t>P-310</t>
        </is>
      </c>
      <c r="D109" s="89" t="inlineStr">
        <is>
          <t>Diamante</t>
        </is>
      </c>
      <c r="E109" s="89" t="inlineStr">
        <is>
          <t>AG3</t>
        </is>
      </c>
      <c r="F109" s="111" t="n">
        <v>12</v>
      </c>
      <c r="G109" s="129" t="n">
        <v>5</v>
      </c>
      <c r="H109" s="129" t="n">
        <v>8.300000000000001</v>
      </c>
      <c r="I109" s="129" t="n"/>
      <c r="J109" s="129" t="n"/>
      <c r="K109" s="129" t="n"/>
      <c r="L109" s="129" t="n"/>
      <c r="M109" s="129" t="n"/>
      <c r="N109" s="130">
        <f>IF(SUM(G109:M109)=0,"",SUM(G109:M109))</f>
        <v/>
      </c>
      <c r="O109" s="131">
        <f>IF(OR(F109="",N109="",N109=0),"",ROUND(F109*N109,2))</f>
        <v/>
      </c>
      <c r="P109" s="93" t="n"/>
    </row>
    <row r="110">
      <c r="A110" s="100" t="inlineStr">
        <is>
          <t>Ricardo</t>
        </is>
      </c>
      <c r="B110" s="101" t="n">
        <v>868</v>
      </c>
      <c r="C110" s="101" t="inlineStr">
        <is>
          <t>P-310</t>
        </is>
      </c>
      <c r="D110" s="101" t="inlineStr">
        <is>
          <t>Diamante</t>
        </is>
      </c>
      <c r="E110" s="101" t="inlineStr">
        <is>
          <t>DOL</t>
        </is>
      </c>
      <c r="F110" s="113" t="n">
        <v>13</v>
      </c>
      <c r="G110" s="135" t="n">
        <v>4.8</v>
      </c>
      <c r="H110" s="135" t="n"/>
      <c r="I110" s="135" t="n">
        <v>9.300000000000001</v>
      </c>
      <c r="J110" s="135" t="n"/>
      <c r="K110" s="135" t="n"/>
      <c r="L110" s="135" t="n"/>
      <c r="M110" s="135" t="n"/>
      <c r="N110" s="136">
        <f>IF(SUM(G110:M110)=0,"",SUM(G110:M110))</f>
        <v/>
      </c>
      <c r="O110" s="137">
        <f>IF(OR(F110="",N110="",N110=0),"",ROUND(F110*N110,2))</f>
        <v/>
      </c>
      <c r="P110" s="105" t="n"/>
    </row>
    <row r="111">
      <c r="A111" s="88" t="inlineStr">
        <is>
          <t>Ricardo</t>
        </is>
      </c>
      <c r="B111" s="89" t="n">
        <v>868</v>
      </c>
      <c r="C111" s="89" t="inlineStr">
        <is>
          <t>P-318</t>
        </is>
      </c>
      <c r="D111" s="89" t="inlineStr">
        <is>
          <t>Aros</t>
        </is>
      </c>
      <c r="E111" s="89" t="inlineStr">
        <is>
          <t>AG3</t>
        </is>
      </c>
      <c r="F111" s="111" t="n">
        <v>13</v>
      </c>
      <c r="G111" s="129" t="n"/>
      <c r="H111" s="129" t="n"/>
      <c r="I111" s="129" t="n"/>
      <c r="J111" s="129" t="n"/>
      <c r="K111" s="129" t="n"/>
      <c r="L111" s="129" t="n"/>
      <c r="M111" s="129" t="n"/>
      <c r="N111" s="130">
        <f>IF(SUM(G111:M111)=0,"",SUM(G111:M111))</f>
        <v/>
      </c>
      <c r="O111" s="131">
        <f>IF(OR(F111="",N111="",N111=0),"",ROUND(F111*N111,2))</f>
        <v/>
      </c>
      <c r="P111" s="93" t="n"/>
    </row>
    <row r="112">
      <c r="A112" s="88" t="inlineStr">
        <is>
          <t>Ricardo</t>
        </is>
      </c>
      <c r="B112" s="89" t="n">
        <v>868</v>
      </c>
      <c r="C112" s="89" t="inlineStr">
        <is>
          <t>REP</t>
        </is>
      </c>
      <c r="D112" s="89" t="inlineStr">
        <is>
          <t>Reparación</t>
        </is>
      </c>
      <c r="E112" s="89" t="inlineStr">
        <is>
          <t>AG3</t>
        </is>
      </c>
      <c r="F112" s="111" t="n">
        <v>13</v>
      </c>
      <c r="G112" s="129" t="n"/>
      <c r="H112" s="129" t="n"/>
      <c r="I112" s="129" t="n"/>
      <c r="J112" s="129" t="n"/>
      <c r="K112" s="129" t="n"/>
      <c r="L112" s="129" t="n"/>
      <c r="M112" s="129" t="n"/>
      <c r="N112" s="130">
        <f>IF(SUM(G112:M112)=0,"",SUM(G112:M112))</f>
        <v/>
      </c>
      <c r="O112" s="131">
        <f>IF(OR(F112="",N112="",N112=0),"",ROUND(F112*N112,2))</f>
        <v/>
      </c>
      <c r="P112" s="93" t="n"/>
    </row>
    <row r="113">
      <c r="A113" s="88" t="inlineStr">
        <is>
          <t>Juan (876)</t>
        </is>
      </c>
      <c r="B113" s="89" t="n">
        <v>876</v>
      </c>
      <c r="C113" s="89" t="inlineStr">
        <is>
          <t>P-246</t>
        </is>
      </c>
      <c r="D113" s="89" t="inlineStr">
        <is>
          <t>Aros</t>
        </is>
      </c>
      <c r="E113" s="89" t="inlineStr">
        <is>
          <t>AG3</t>
        </is>
      </c>
      <c r="F113" s="111" t="n">
        <v>14</v>
      </c>
      <c r="G113" s="129" t="n"/>
      <c r="H113" s="129" t="n"/>
      <c r="I113" s="129" t="n">
        <v>4</v>
      </c>
      <c r="J113" s="129" t="n"/>
      <c r="K113" s="129" t="n"/>
      <c r="L113" s="129" t="n"/>
      <c r="M113" s="129" t="n"/>
      <c r="N113" s="130">
        <f>IF(SUM(G113:M113)=0,"",SUM(G113:M113))</f>
        <v/>
      </c>
      <c r="O113" s="131">
        <f>IF(OR(F113="",N113="",N113=0),"",ROUND(F113*N113,2))</f>
        <v/>
      </c>
      <c r="P113" s="93" t="n"/>
    </row>
    <row r="114">
      <c r="A114" s="88" t="inlineStr">
        <is>
          <t>Juan (876)</t>
        </is>
      </c>
      <c r="B114" s="89" t="n">
        <v>876</v>
      </c>
      <c r="C114" s="89" t="inlineStr">
        <is>
          <t>P-265</t>
        </is>
      </c>
      <c r="D114" s="89" t="inlineStr">
        <is>
          <t>Quimera</t>
        </is>
      </c>
      <c r="E114" s="89" t="inlineStr">
        <is>
          <t>AG3</t>
        </is>
      </c>
      <c r="F114" s="111" t="n">
        <v>16</v>
      </c>
      <c r="G114" s="129" t="n"/>
      <c r="H114" s="129" t="n"/>
      <c r="I114" s="129" t="n"/>
      <c r="J114" s="129" t="n"/>
      <c r="K114" s="129" t="n"/>
      <c r="L114" s="129" t="n"/>
      <c r="M114" s="129" t="n"/>
      <c r="N114" s="130">
        <f>IF(SUM(G114:M114)=0,"",SUM(G114:M114))</f>
        <v/>
      </c>
      <c r="O114" s="131">
        <f>IF(OR(F114="",N114="",N114=0),"",ROUND(F114*N114,2))</f>
        <v/>
      </c>
      <c r="P114" s="93" t="n"/>
    </row>
    <row r="115">
      <c r="A115" s="99" t="n"/>
      <c r="B115" s="99" t="n"/>
      <c r="C115" s="99" t="n"/>
      <c r="D115" s="99" t="n"/>
      <c r="E115" s="99" t="n"/>
      <c r="F115" s="99" t="n"/>
      <c r="G115" s="99" t="n"/>
      <c r="H115" s="99" t="n"/>
      <c r="I115" s="99" t="n"/>
      <c r="J115" s="99" t="n"/>
      <c r="K115" s="99" t="n"/>
      <c r="L115" s="99" t="n"/>
      <c r="M115" s="106" t="inlineStr">
        <is>
          <t>TOTALES →</t>
        </is>
      </c>
      <c r="N115" s="138">
        <f>IF(SUM(N6:N114)=0,"",SUM(N6:N114))</f>
        <v/>
      </c>
      <c r="O115" s="139">
        <f>IF(SUM(O6:O114)=0,"",SUM(O6:O114))</f>
        <v/>
      </c>
      <c r="P115" s="140" t="n">
        <v>46253</v>
      </c>
    </row>
    <row r="116">
      <c r="A116" s="109" t="inlineStr">
        <is>
          <t>Fuente: Nomina-Imprimir. Misma información, sin filas vacías, ordenada. Total Gr y Efectivo son fórmulas.</t>
        </is>
      </c>
    </row>
  </sheetData>
  <mergeCells count="2">
    <mergeCell ref="A1:P1"/>
    <mergeCell ref="A2:P2"/>
  </mergeCells>
  <pageMargins left="0.35" right="0.35" top="0.4" bottom="0.4" header="0.5" footer="0.5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10" defaultColWidth="9.140625" defaultRowHeight="15"/>
  <sheetData>
    <row r="1">
      <c r="A1" s="110" t="inlineStr">
        <is>
          <t>PLANTILLA: copia Nomina-Imprimir o esta hoja para una semana nueva (clic derecho → Mover o copiar → Crear una copia).</t>
        </is>
      </c>
    </row>
    <row r="2">
      <c r="A2" t="inlineStr">
        <is>
          <t>Luego regenera Nomina-Formal desde los datos de captura (o pide actualizar Formal).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14"/>
  <sheetViews>
    <sheetView topLeftCell="A35" workbookViewId="0">
      <selection activeCell="B48" sqref="B48"/>
    </sheetView>
  </sheetViews>
  <sheetFormatPr baseColWidth="10" defaultColWidth="9.140625" defaultRowHeight="12"/>
  <cols>
    <col width="6" customWidth="1" style="23" min="1" max="1"/>
    <col width="28" customWidth="1" style="23" min="2" max="2"/>
    <col width="38" customWidth="1" style="23" min="3" max="3"/>
    <col width="8.7109375" bestFit="1" customWidth="1" style="23" min="4" max="4"/>
    <col width="10" customWidth="1" style="23" min="5" max="5"/>
    <col width="14" customWidth="1" style="23" min="6" max="6"/>
    <col width="8" customWidth="1" style="23" min="7" max="7"/>
    <col width="16" customWidth="1" style="23" min="8" max="8"/>
    <col width="9.140625" customWidth="1" style="23" min="9" max="10"/>
    <col width="9.140625" customWidth="1" style="23" min="11" max="16384"/>
  </cols>
  <sheetData>
    <row r="1">
      <c r="A1" s="22" t="inlineStr">
        <is>
          <t>CATÁLOGO DE TRABAJADORES — Taller de Fajos Central</t>
        </is>
      </c>
    </row>
    <row r="2">
      <c r="A2" s="24" t="inlineStr">
        <is>
          <t>Mismo nombre + distinta Ubic = personas diferentes. Agrega nuevos al final de la tabla. Tipo debe contener 'PLT' y Activo='Sí' para aparecer en nóminas de plata.</t>
        </is>
      </c>
    </row>
    <row r="4">
      <c r="A4" s="25" t="inlineStr">
        <is>
          <t>ID</t>
        </is>
      </c>
      <c r="B4" s="25" t="inlineStr">
        <is>
          <t>Nombre (mostrar)</t>
        </is>
      </c>
      <c r="C4" s="25" t="inlineStr">
        <is>
          <t>Nombre Completo</t>
        </is>
      </c>
      <c r="D4" s="25" t="inlineStr">
        <is>
          <t>Ubic</t>
        </is>
      </c>
      <c r="E4" s="25" t="inlineStr">
        <is>
          <t>Tipo</t>
        </is>
      </c>
      <c r="F4" s="25" t="inlineStr">
        <is>
          <t>Puesto</t>
        </is>
      </c>
      <c r="G4" s="25" t="inlineStr">
        <is>
          <t>Activo</t>
        </is>
      </c>
      <c r="H4" s="25" t="inlineStr">
        <is>
          <t>Fecha Incorporación</t>
        </is>
      </c>
    </row>
    <row r="5">
      <c r="A5" s="26" t="n">
        <v>1</v>
      </c>
      <c r="B5" s="27" t="inlineStr">
        <is>
          <t>Adrián</t>
        </is>
      </c>
      <c r="C5" s="27" t="inlineStr">
        <is>
          <t>Adrián</t>
        </is>
      </c>
      <c r="D5" s="26" t="n">
        <v>737</v>
      </c>
      <c r="E5" s="26" t="inlineStr">
        <is>
          <t>PLT</t>
        </is>
      </c>
      <c r="F5" s="27" t="n"/>
      <c r="G5" s="26" t="inlineStr">
        <is>
          <t>Sí</t>
        </is>
      </c>
      <c r="H5" s="141" t="inlineStr">
        <is>
          <t>2025-01-15</t>
        </is>
      </c>
    </row>
    <row r="6">
      <c r="A6" s="29" t="n">
        <v>2</v>
      </c>
      <c r="B6" s="30" t="inlineStr">
        <is>
          <t>Adrián Emilio López Sánchez</t>
        </is>
      </c>
      <c r="C6" s="30" t="inlineStr">
        <is>
          <t>Adrián Emilio López Sánchez</t>
        </is>
      </c>
      <c r="D6" s="29" t="n">
        <v>737</v>
      </c>
      <c r="E6" s="29" t="inlineStr">
        <is>
          <t>PIT</t>
        </is>
      </c>
      <c r="F6" s="30" t="n"/>
      <c r="G6" s="29" t="inlineStr">
        <is>
          <t>Sí</t>
        </is>
      </c>
      <c r="H6" s="142" t="inlineStr">
        <is>
          <t>2025-02-01</t>
        </is>
      </c>
    </row>
    <row r="7">
      <c r="A7" s="26" t="n">
        <v>3</v>
      </c>
      <c r="B7" s="27" t="inlineStr">
        <is>
          <t>Alejandro</t>
        </is>
      </c>
      <c r="C7" s="27" t="inlineStr">
        <is>
          <t>Alejandro</t>
        </is>
      </c>
      <c r="D7" s="26" t="n">
        <v>663</v>
      </c>
      <c r="E7" s="26" t="inlineStr">
        <is>
          <t>PLT</t>
        </is>
      </c>
      <c r="F7" s="27" t="n"/>
      <c r="G7" s="26" t="inlineStr">
        <is>
          <t>Sí</t>
        </is>
      </c>
      <c r="H7" s="141" t="inlineStr">
        <is>
          <t>2025-01-10</t>
        </is>
      </c>
    </row>
    <row r="8">
      <c r="A8" s="29" t="n">
        <v>4</v>
      </c>
      <c r="B8" s="30" t="inlineStr">
        <is>
          <t>Alejandro López Alatorre</t>
        </is>
      </c>
      <c r="C8" s="30" t="inlineStr">
        <is>
          <t>Alejandro López Alatorre</t>
        </is>
      </c>
      <c r="D8" s="29" t="n">
        <v>467</v>
      </c>
      <c r="E8" s="29" t="inlineStr">
        <is>
          <t>TLL</t>
        </is>
      </c>
      <c r="F8" s="30" t="inlineStr">
        <is>
          <t>Ventana</t>
        </is>
      </c>
      <c r="G8" s="29" t="inlineStr">
        <is>
          <t>Sí</t>
        </is>
      </c>
      <c r="H8" s="142" t="inlineStr">
        <is>
          <t>2024-11-01</t>
        </is>
      </c>
    </row>
    <row r="9">
      <c r="A9" s="26" t="n">
        <v>5</v>
      </c>
      <c r="B9" s="27" t="inlineStr">
        <is>
          <t>Ángel</t>
        </is>
      </c>
      <c r="C9" s="27" t="inlineStr">
        <is>
          <t>Ángel</t>
        </is>
      </c>
      <c r="D9" s="26" t="n">
        <v>762</v>
      </c>
      <c r="E9" s="26" t="inlineStr">
        <is>
          <t>PLT/PIT</t>
        </is>
      </c>
      <c r="F9" s="27" t="n"/>
      <c r="G9" s="26" t="inlineStr">
        <is>
          <t>Sí</t>
        </is>
      </c>
      <c r="H9" s="141" t="inlineStr">
        <is>
          <t>2025-01-20</t>
        </is>
      </c>
    </row>
    <row r="10">
      <c r="A10" s="29" t="n">
        <v>6</v>
      </c>
      <c r="B10" s="30" t="inlineStr">
        <is>
          <t>Ángel (756)</t>
        </is>
      </c>
      <c r="C10" s="30" t="inlineStr">
        <is>
          <t>Ángel</t>
        </is>
      </c>
      <c r="D10" s="29" t="n">
        <v>756</v>
      </c>
      <c r="E10" s="29" t="inlineStr">
        <is>
          <t>PIT</t>
        </is>
      </c>
      <c r="F10" s="30" t="n"/>
      <c r="G10" s="29" t="inlineStr">
        <is>
          <t>Sí</t>
        </is>
      </c>
      <c r="H10" s="142" t="inlineStr">
        <is>
          <t>2025-03-01</t>
        </is>
      </c>
    </row>
    <row r="11">
      <c r="A11" s="26" t="n">
        <v>7</v>
      </c>
      <c r="B11" s="27" t="inlineStr">
        <is>
          <t>Arturo</t>
        </is>
      </c>
      <c r="C11" s="27" t="inlineStr">
        <is>
          <t>Arturo</t>
        </is>
      </c>
      <c r="D11" s="26" t="n">
        <v>487</v>
      </c>
      <c r="E11" s="26" t="inlineStr">
        <is>
          <t>PLT</t>
        </is>
      </c>
      <c r="F11" s="27" t="n"/>
      <c r="G11" s="26" t="inlineStr">
        <is>
          <t>Sí</t>
        </is>
      </c>
      <c r="H11" s="141" t="inlineStr">
        <is>
          <t>2025-01-12</t>
        </is>
      </c>
    </row>
    <row r="12">
      <c r="A12" s="29" t="n">
        <v>8</v>
      </c>
      <c r="B12" s="30" t="inlineStr">
        <is>
          <t>Brian</t>
        </is>
      </c>
      <c r="C12" s="30" t="inlineStr">
        <is>
          <t>Brian</t>
        </is>
      </c>
      <c r="D12" s="29" t="n">
        <v>776</v>
      </c>
      <c r="E12" s="29" t="inlineStr">
        <is>
          <t>PLT/PIT</t>
        </is>
      </c>
      <c r="F12" s="30" t="n"/>
      <c r="G12" s="29" t="inlineStr">
        <is>
          <t>Sí</t>
        </is>
      </c>
      <c r="H12" s="142" t="inlineStr">
        <is>
          <t>2025-01-08</t>
        </is>
      </c>
    </row>
    <row r="13">
      <c r="A13" s="26" t="n">
        <v>9</v>
      </c>
      <c r="B13" s="27" t="inlineStr">
        <is>
          <t>Cristian (815)</t>
        </is>
      </c>
      <c r="C13" s="27" t="inlineStr">
        <is>
          <t>Cristian</t>
        </is>
      </c>
      <c r="D13" s="26" t="n">
        <v>815</v>
      </c>
      <c r="E13" s="26" t="inlineStr">
        <is>
          <t>PLT</t>
        </is>
      </c>
      <c r="F13" s="27" t="n"/>
      <c r="G13" s="26" t="inlineStr">
        <is>
          <t>Sí</t>
        </is>
      </c>
      <c r="H13" s="141" t="inlineStr">
        <is>
          <t>2025-01-05</t>
        </is>
      </c>
    </row>
    <row r="14">
      <c r="A14" s="29" t="n">
        <v>10</v>
      </c>
      <c r="B14" s="30" t="inlineStr">
        <is>
          <t>Cristian (832)</t>
        </is>
      </c>
      <c r="C14" s="30" t="inlineStr">
        <is>
          <t>Cristian</t>
        </is>
      </c>
      <c r="D14" s="29" t="n">
        <v>832</v>
      </c>
      <c r="E14" s="29" t="inlineStr">
        <is>
          <t>PLT</t>
        </is>
      </c>
      <c r="F14" s="30" t="n"/>
      <c r="G14" s="29" t="inlineStr">
        <is>
          <t>Sí</t>
        </is>
      </c>
      <c r="H14" s="142" t="inlineStr">
        <is>
          <t>2025-02-10</t>
        </is>
      </c>
    </row>
    <row r="15">
      <c r="A15" s="26" t="n">
        <v>11</v>
      </c>
      <c r="B15" s="27" t="inlineStr">
        <is>
          <t>Cristian (332)</t>
        </is>
      </c>
      <c r="C15" s="27" t="inlineStr">
        <is>
          <t>Cristian</t>
        </is>
      </c>
      <c r="D15" s="26" t="n">
        <v>332</v>
      </c>
      <c r="E15" s="26" t="inlineStr">
        <is>
          <t>PLT</t>
        </is>
      </c>
      <c r="F15" s="27" t="n"/>
      <c r="G15" s="26" t="inlineStr">
        <is>
          <t>Sí</t>
        </is>
      </c>
      <c r="H15" s="141" t="inlineStr">
        <is>
          <t>2025-01-18</t>
        </is>
      </c>
    </row>
    <row r="16">
      <c r="A16" s="29" t="n">
        <v>12</v>
      </c>
      <c r="B16" s="30" t="inlineStr">
        <is>
          <t>Diego (487)</t>
        </is>
      </c>
      <c r="C16" s="30" t="inlineStr">
        <is>
          <t>Diego</t>
        </is>
      </c>
      <c r="D16" s="29" t="n">
        <v>487</v>
      </c>
      <c r="E16" s="29" t="inlineStr">
        <is>
          <t>PLT</t>
        </is>
      </c>
      <c r="F16" s="30" t="n"/>
      <c r="G16" s="29" t="inlineStr">
        <is>
          <t>Sí</t>
        </is>
      </c>
      <c r="H16" s="142" t="inlineStr">
        <is>
          <t>2025-01-07</t>
        </is>
      </c>
    </row>
    <row r="17">
      <c r="A17" s="26" t="n">
        <v>13</v>
      </c>
      <c r="B17" s="27" t="inlineStr">
        <is>
          <t>Diego (552)</t>
        </is>
      </c>
      <c r="C17" s="27" t="inlineStr">
        <is>
          <t>Diego</t>
        </is>
      </c>
      <c r="D17" s="26" t="n">
        <v>552</v>
      </c>
      <c r="E17" s="26" t="inlineStr">
        <is>
          <t>PLT</t>
        </is>
      </c>
      <c r="F17" s="27" t="n"/>
      <c r="G17" s="26" t="inlineStr">
        <is>
          <t>Sí</t>
        </is>
      </c>
      <c r="H17" s="141" t="inlineStr">
        <is>
          <t>2025-02-15</t>
        </is>
      </c>
    </row>
    <row r="18">
      <c r="A18" s="29" t="n">
        <v>14</v>
      </c>
      <c r="B18" s="30" t="inlineStr">
        <is>
          <t>Erick Valerio Quezada</t>
        </is>
      </c>
      <c r="C18" s="30" t="inlineStr">
        <is>
          <t>Erick Valerio Quezada</t>
        </is>
      </c>
      <c r="D18" s="29" t="n">
        <v>827</v>
      </c>
      <c r="E18" s="29" t="inlineStr">
        <is>
          <t>PLT</t>
        </is>
      </c>
      <c r="F18" s="30" t="n"/>
      <c r="G18" s="29" t="inlineStr">
        <is>
          <t>Sí</t>
        </is>
      </c>
      <c r="H18" s="142" t="inlineStr">
        <is>
          <t>2025-01-22</t>
        </is>
      </c>
    </row>
    <row r="19">
      <c r="A19" s="26" t="n">
        <v>15</v>
      </c>
      <c r="B19" s="27" t="inlineStr">
        <is>
          <t>Ernesto Munguía Hernández</t>
        </is>
      </c>
      <c r="C19" s="27" t="inlineStr">
        <is>
          <t>Ernesto Munguía Hernández</t>
        </is>
      </c>
      <c r="D19" s="26" t="n">
        <v>844</v>
      </c>
      <c r="E19" s="26" t="inlineStr">
        <is>
          <t>PLT</t>
        </is>
      </c>
      <c r="F19" s="27" t="n"/>
      <c r="G19" s="26" t="inlineStr">
        <is>
          <t>Sí</t>
        </is>
      </c>
      <c r="H19" s="141" t="inlineStr">
        <is>
          <t>2025-01-25</t>
        </is>
      </c>
    </row>
    <row r="20">
      <c r="A20" s="29" t="n">
        <v>16</v>
      </c>
      <c r="B20" s="30" t="inlineStr">
        <is>
          <t>Esteban Adrián</t>
        </is>
      </c>
      <c r="C20" s="30" t="inlineStr">
        <is>
          <t>Esteban Adrián</t>
        </is>
      </c>
      <c r="D20" s="29" t="n">
        <v>487</v>
      </c>
      <c r="E20" s="29" t="inlineStr">
        <is>
          <t>PLT</t>
        </is>
      </c>
      <c r="F20" s="30" t="n"/>
      <c r="G20" s="29" t="inlineStr">
        <is>
          <t>Sí</t>
        </is>
      </c>
      <c r="H20" s="142" t="inlineStr">
        <is>
          <t>2025-03-01</t>
        </is>
      </c>
    </row>
    <row r="21">
      <c r="A21" s="26" t="n">
        <v>17</v>
      </c>
      <c r="B21" s="27" t="inlineStr">
        <is>
          <t>Felipe Coronado Covarrubias</t>
        </is>
      </c>
      <c r="C21" s="27" t="inlineStr">
        <is>
          <t>Felipe Coronado Covarrubias</t>
        </is>
      </c>
      <c r="D21" s="26" t="n">
        <v>571</v>
      </c>
      <c r="E21" s="26" t="inlineStr">
        <is>
          <t>PLT</t>
        </is>
      </c>
      <c r="F21" s="27" t="n"/>
      <c r="G21" s="26" t="inlineStr">
        <is>
          <t>Sí</t>
        </is>
      </c>
      <c r="H21" s="141" t="inlineStr">
        <is>
          <t>2025-01-14</t>
        </is>
      </c>
    </row>
    <row r="22">
      <c r="A22" s="29" t="n">
        <v>18</v>
      </c>
      <c r="B22" s="30" t="inlineStr">
        <is>
          <t>Francisco</t>
        </is>
      </c>
      <c r="C22" s="30" t="inlineStr">
        <is>
          <t>Francisco</t>
        </is>
      </c>
      <c r="D22" s="29" t="n">
        <v>1048</v>
      </c>
      <c r="E22" s="29" t="inlineStr">
        <is>
          <t>PLT</t>
        </is>
      </c>
      <c r="F22" s="30" t="n"/>
      <c r="G22" s="29" t="inlineStr">
        <is>
          <t>Sí</t>
        </is>
      </c>
      <c r="H22" s="142" t="inlineStr">
        <is>
          <t>2025-01-30</t>
        </is>
      </c>
    </row>
    <row r="23">
      <c r="A23" s="26" t="n">
        <v>19</v>
      </c>
      <c r="B23" s="27" t="inlineStr">
        <is>
          <t>Francisco Javier Chávez Domínguez</t>
        </is>
      </c>
      <c r="C23" s="27" t="inlineStr">
        <is>
          <t>Francisco Javier Chávez Domínguez</t>
        </is>
      </c>
      <c r="D23" s="26" t="n">
        <v>388</v>
      </c>
      <c r="E23" s="26" t="inlineStr">
        <is>
          <t>TLL</t>
        </is>
      </c>
      <c r="F23" s="27" t="inlineStr">
        <is>
          <t>Montador</t>
        </is>
      </c>
      <c r="G23" s="26" t="inlineStr">
        <is>
          <t>Sí</t>
        </is>
      </c>
      <c r="H23" s="141" t="inlineStr">
        <is>
          <t>2024-10-15</t>
        </is>
      </c>
    </row>
    <row r="24">
      <c r="A24" s="29" t="n">
        <v>20</v>
      </c>
      <c r="B24" s="30" t="inlineStr">
        <is>
          <t>Héctor Melecio</t>
        </is>
      </c>
      <c r="C24" s="30" t="inlineStr">
        <is>
          <t>Héctor Melecio</t>
        </is>
      </c>
      <c r="D24" s="29" t="n">
        <v>852</v>
      </c>
      <c r="E24" s="29" t="inlineStr">
        <is>
          <t>PIT</t>
        </is>
      </c>
      <c r="F24" s="30" t="n"/>
      <c r="G24" s="29" t="inlineStr">
        <is>
          <t>Sí</t>
        </is>
      </c>
      <c r="H24" s="142" t="inlineStr">
        <is>
          <t>2025-02-05</t>
        </is>
      </c>
    </row>
    <row r="25">
      <c r="A25" s="26" t="n">
        <v>21</v>
      </c>
      <c r="B25" s="27" t="inlineStr">
        <is>
          <t>Héctor Miranda</t>
        </is>
      </c>
      <c r="C25" s="27" t="inlineStr">
        <is>
          <t>Héctor Miranda</t>
        </is>
      </c>
      <c r="D25" s="26" t="n">
        <v>337</v>
      </c>
      <c r="E25" s="26" t="inlineStr">
        <is>
          <t>PLT</t>
        </is>
      </c>
      <c r="F25" s="27" t="n"/>
      <c r="G25" s="26" t="inlineStr">
        <is>
          <t>Sí</t>
        </is>
      </c>
      <c r="H25" s="141" t="inlineStr">
        <is>
          <t>2025-01-11</t>
        </is>
      </c>
    </row>
    <row r="26">
      <c r="A26" s="29" t="n">
        <v>22</v>
      </c>
      <c r="B26" s="30" t="inlineStr">
        <is>
          <t>Hugo Alejandro</t>
        </is>
      </c>
      <c r="C26" s="30" t="inlineStr">
        <is>
          <t>Hugo Alejandro</t>
        </is>
      </c>
      <c r="D26" s="29" t="n">
        <v>366</v>
      </c>
      <c r="E26" s="29" t="inlineStr">
        <is>
          <t>PLT</t>
        </is>
      </c>
      <c r="F26" s="30" t="n"/>
      <c r="G26" s="29" t="inlineStr">
        <is>
          <t>Sí</t>
        </is>
      </c>
      <c r="H26" s="142" t="inlineStr">
        <is>
          <t>2025-01-09</t>
        </is>
      </c>
    </row>
    <row r="27">
      <c r="A27" s="26" t="n">
        <v>23</v>
      </c>
      <c r="B27" s="27" t="inlineStr">
        <is>
          <t>Jorge</t>
        </is>
      </c>
      <c r="C27" s="27" t="inlineStr">
        <is>
          <t>Jorge</t>
        </is>
      </c>
      <c r="D27" s="26" t="n">
        <v>867</v>
      </c>
      <c r="E27" s="26" t="inlineStr">
        <is>
          <t>PLT</t>
        </is>
      </c>
      <c r="F27" s="27" t="n"/>
      <c r="G27" s="26" t="inlineStr">
        <is>
          <t>Sí</t>
        </is>
      </c>
      <c r="H27" s="141" t="inlineStr">
        <is>
          <t>2025-01-16</t>
        </is>
      </c>
    </row>
    <row r="28">
      <c r="A28" s="29" t="n">
        <v>24</v>
      </c>
      <c r="B28" s="30" t="inlineStr">
        <is>
          <t>Jorge Alberto</t>
        </is>
      </c>
      <c r="C28" s="30" t="inlineStr">
        <is>
          <t>Jorge Alberto</t>
        </is>
      </c>
      <c r="D28" s="29" t="n">
        <v>563</v>
      </c>
      <c r="E28" s="29" t="inlineStr">
        <is>
          <t>PLT</t>
        </is>
      </c>
      <c r="F28" s="30" t="n"/>
      <c r="G28" s="29" t="inlineStr">
        <is>
          <t>Sí</t>
        </is>
      </c>
      <c r="H28" s="142" t="inlineStr">
        <is>
          <t>2025-01-13</t>
        </is>
      </c>
    </row>
    <row r="29">
      <c r="A29" s="26" t="n">
        <v>25</v>
      </c>
      <c r="B29" s="27" t="inlineStr">
        <is>
          <t>José (572)</t>
        </is>
      </c>
      <c r="C29" s="27" t="inlineStr">
        <is>
          <t>José</t>
        </is>
      </c>
      <c r="D29" s="26" t="n">
        <v>572</v>
      </c>
      <c r="E29" s="26" t="inlineStr">
        <is>
          <t>PLT</t>
        </is>
      </c>
      <c r="F29" s="27" t="n"/>
      <c r="G29" s="26" t="inlineStr">
        <is>
          <t>Sí</t>
        </is>
      </c>
      <c r="H29" s="141" t="inlineStr">
        <is>
          <t>2025-01-06</t>
        </is>
      </c>
    </row>
    <row r="30">
      <c r="A30" s="29" t="n">
        <v>26</v>
      </c>
      <c r="B30" s="30" t="inlineStr">
        <is>
          <t>José Alberto</t>
        </is>
      </c>
      <c r="C30" s="30" t="inlineStr">
        <is>
          <t>José Alberto</t>
        </is>
      </c>
      <c r="D30" s="29" t="n">
        <v>634</v>
      </c>
      <c r="E30" s="29" t="inlineStr">
        <is>
          <t>PIT</t>
        </is>
      </c>
      <c r="F30" s="30" t="n"/>
      <c r="G30" s="29" t="inlineStr">
        <is>
          <t>Sí</t>
        </is>
      </c>
      <c r="H30" s="142" t="inlineStr">
        <is>
          <t>2025-02-20</t>
        </is>
      </c>
    </row>
    <row r="31">
      <c r="A31" s="26" t="n">
        <v>27</v>
      </c>
      <c r="B31" s="27" t="inlineStr">
        <is>
          <t>José de los Santos</t>
        </is>
      </c>
      <c r="C31" s="27" t="inlineStr">
        <is>
          <t>José de los Santos</t>
        </is>
      </c>
      <c r="D31" s="26" t="n">
        <v>822</v>
      </c>
      <c r="E31" s="26" t="inlineStr">
        <is>
          <t>PLT</t>
        </is>
      </c>
      <c r="F31" s="27" t="n"/>
      <c r="G31" s="26" t="inlineStr">
        <is>
          <t>Sí</t>
        </is>
      </c>
      <c r="H31" s="141" t="inlineStr">
        <is>
          <t>2025-01-17</t>
        </is>
      </c>
    </row>
    <row r="32">
      <c r="A32" s="29" t="n">
        <v>28</v>
      </c>
      <c r="B32" s="30" t="inlineStr">
        <is>
          <t>José Luis Vela</t>
        </is>
      </c>
      <c r="C32" s="30" t="inlineStr">
        <is>
          <t>José Luis Vela</t>
        </is>
      </c>
      <c r="D32" s="29" t="n">
        <v>428</v>
      </c>
      <c r="E32" s="29" t="inlineStr">
        <is>
          <t>PLT</t>
        </is>
      </c>
      <c r="F32" s="30" t="n"/>
      <c r="G32" s="29" t="inlineStr">
        <is>
          <t>Sí</t>
        </is>
      </c>
      <c r="H32" s="142" t="inlineStr">
        <is>
          <t>2025-01-19</t>
        </is>
      </c>
    </row>
    <row r="33">
      <c r="A33" s="26" t="n">
        <v>29</v>
      </c>
      <c r="B33" s="27" t="inlineStr">
        <is>
          <t>José Martínez</t>
        </is>
      </c>
      <c r="C33" s="27" t="inlineStr">
        <is>
          <t>José Martínez</t>
        </is>
      </c>
      <c r="D33" s="26" t="n">
        <v>372</v>
      </c>
      <c r="E33" s="26" t="inlineStr">
        <is>
          <t>PLT</t>
        </is>
      </c>
      <c r="F33" s="27" t="n"/>
      <c r="G33" s="26" t="inlineStr">
        <is>
          <t>Sí</t>
        </is>
      </c>
      <c r="H33" s="141" t="inlineStr">
        <is>
          <t>2025-01-04</t>
        </is>
      </c>
    </row>
    <row r="34">
      <c r="A34" s="29" t="n">
        <v>30</v>
      </c>
      <c r="B34" s="30" t="inlineStr">
        <is>
          <t>José Omar</t>
        </is>
      </c>
      <c r="C34" s="30" t="inlineStr">
        <is>
          <t>José Omar</t>
        </is>
      </c>
      <c r="D34" s="29" t="n">
        <v>732</v>
      </c>
      <c r="E34" s="29" t="inlineStr">
        <is>
          <t>PLT</t>
        </is>
      </c>
      <c r="F34" s="30" t="n"/>
      <c r="G34" s="29" t="inlineStr">
        <is>
          <t>Sí</t>
        </is>
      </c>
      <c r="H34" s="142" t="inlineStr">
        <is>
          <t>2025-01-21</t>
        </is>
      </c>
    </row>
    <row r="35">
      <c r="A35" s="26" t="n">
        <v>31</v>
      </c>
      <c r="B35" s="27" t="inlineStr">
        <is>
          <t>Juan (876)</t>
        </is>
      </c>
      <c r="C35" s="27" t="inlineStr">
        <is>
          <t>Juan</t>
        </is>
      </c>
      <c r="D35" s="26" t="n">
        <v>876</v>
      </c>
      <c r="E35" s="26" t="inlineStr">
        <is>
          <t>PLT</t>
        </is>
      </c>
      <c r="F35" s="27" t="n"/>
      <c r="G35" s="26" t="inlineStr">
        <is>
          <t>Sí</t>
        </is>
      </c>
      <c r="H35" s="141" t="inlineStr">
        <is>
          <t>2025-01-23</t>
        </is>
      </c>
    </row>
    <row r="36">
      <c r="A36" s="29" t="n">
        <v>32</v>
      </c>
      <c r="B36" s="30" t="inlineStr">
        <is>
          <t>Juan Diego</t>
        </is>
      </c>
      <c r="C36" s="30" t="inlineStr">
        <is>
          <t>Juan Diego</t>
        </is>
      </c>
      <c r="D36" s="29" t="n">
        <v>672</v>
      </c>
      <c r="E36" s="29" t="inlineStr">
        <is>
          <t>PLT</t>
        </is>
      </c>
      <c r="F36" s="30" t="n"/>
      <c r="G36" s="29" t="inlineStr">
        <is>
          <t>Sí</t>
        </is>
      </c>
      <c r="H36" s="142" t="inlineStr">
        <is>
          <t>2025-01-24</t>
        </is>
      </c>
    </row>
    <row r="37">
      <c r="A37" s="26" t="n">
        <v>33</v>
      </c>
      <c r="B37" s="27" t="inlineStr">
        <is>
          <t>Juan (584)</t>
        </is>
      </c>
      <c r="C37" s="27" t="inlineStr">
        <is>
          <t>Juan</t>
        </is>
      </c>
      <c r="D37" s="26" t="n">
        <v>584</v>
      </c>
      <c r="E37" s="26" t="inlineStr">
        <is>
          <t>PLT</t>
        </is>
      </c>
      <c r="F37" s="27" t="n"/>
      <c r="G37" s="26" t="inlineStr">
        <is>
          <t>Sí</t>
        </is>
      </c>
      <c r="H37" s="141" t="inlineStr">
        <is>
          <t>2025-02-08</t>
        </is>
      </c>
    </row>
    <row r="38">
      <c r="A38" s="29" t="n">
        <v>34</v>
      </c>
      <c r="B38" s="30" t="inlineStr">
        <is>
          <t>Luis (833)</t>
        </is>
      </c>
      <c r="C38" s="30" t="inlineStr">
        <is>
          <t>Luis</t>
        </is>
      </c>
      <c r="D38" s="29" t="n">
        <v>833</v>
      </c>
      <c r="E38" s="29" t="inlineStr">
        <is>
          <t>PLT</t>
        </is>
      </c>
      <c r="F38" s="30" t="n"/>
      <c r="G38" s="29" t="inlineStr">
        <is>
          <t>Sí</t>
        </is>
      </c>
      <c r="H38" s="142" t="inlineStr">
        <is>
          <t>2025-01-26</t>
        </is>
      </c>
    </row>
    <row r="39">
      <c r="A39" s="26" t="n">
        <v>35</v>
      </c>
      <c r="B39" s="27" t="inlineStr">
        <is>
          <t>Manuel Ramírez</t>
        </is>
      </c>
      <c r="C39" s="27" t="inlineStr">
        <is>
          <t>Manuel Ramírez</t>
        </is>
      </c>
      <c r="D39" s="26" t="n">
        <v>482</v>
      </c>
      <c r="E39" s="26" t="inlineStr">
        <is>
          <t>PLT</t>
        </is>
      </c>
      <c r="F39" s="27" t="n"/>
      <c r="G39" s="26" t="inlineStr">
        <is>
          <t>Sí</t>
        </is>
      </c>
      <c r="H39" s="141" t="inlineStr">
        <is>
          <t>2025-01-27</t>
        </is>
      </c>
    </row>
    <row r="40">
      <c r="A40" s="29" t="n">
        <v>36</v>
      </c>
      <c r="B40" s="30" t="inlineStr">
        <is>
          <t>Martín López</t>
        </is>
      </c>
      <c r="C40" s="30" t="inlineStr">
        <is>
          <t>Martín López</t>
        </is>
      </c>
      <c r="D40" s="29" t="n">
        <v>815</v>
      </c>
      <c r="E40" s="29" t="inlineStr">
        <is>
          <t>PLT</t>
        </is>
      </c>
      <c r="F40" s="30" t="n"/>
      <c r="G40" s="29" t="inlineStr">
        <is>
          <t>Sí</t>
        </is>
      </c>
      <c r="H40" s="142" t="inlineStr">
        <is>
          <t>2025-01-28</t>
        </is>
      </c>
    </row>
    <row r="41">
      <c r="A41" s="26" t="n">
        <v>37</v>
      </c>
      <c r="B41" s="27" t="inlineStr">
        <is>
          <t>Octavio González</t>
        </is>
      </c>
      <c r="C41" s="27" t="inlineStr">
        <is>
          <t>Octavio González</t>
        </is>
      </c>
      <c r="D41" s="26" t="n">
        <v>888</v>
      </c>
      <c r="E41" s="26" t="inlineStr">
        <is>
          <t>PLT</t>
        </is>
      </c>
      <c r="F41" s="27" t="n"/>
      <c r="G41" s="26" t="inlineStr">
        <is>
          <t>Sí</t>
        </is>
      </c>
      <c r="H41" s="141" t="inlineStr">
        <is>
          <t>2025-01-29</t>
        </is>
      </c>
    </row>
    <row r="42">
      <c r="A42" s="26" t="n">
        <v>38</v>
      </c>
      <c r="B42" s="27" t="inlineStr">
        <is>
          <t>Octavio González</t>
        </is>
      </c>
      <c r="C42" s="27" t="n"/>
      <c r="D42" s="26" t="n">
        <v>264</v>
      </c>
      <c r="E42" s="26" t="inlineStr">
        <is>
          <t>PLT</t>
        </is>
      </c>
      <c r="F42" s="27" t="n"/>
      <c r="G42" s="26" t="inlineStr">
        <is>
          <t>Sí</t>
        </is>
      </c>
      <c r="H42" s="141" t="n"/>
    </row>
    <row r="43">
      <c r="A43" s="26" t="n">
        <v>39</v>
      </c>
      <c r="B43" s="30" t="inlineStr">
        <is>
          <t>Óscar Adrián Gutiérrez Pérez</t>
        </is>
      </c>
      <c r="C43" s="30" t="inlineStr">
        <is>
          <t>Óscar Adrián Gutiérrez Pérez</t>
        </is>
      </c>
      <c r="D43" s="29" t="n">
        <v>633</v>
      </c>
      <c r="E43" s="29" t="inlineStr">
        <is>
          <t>TLL</t>
        </is>
      </c>
      <c r="F43" s="30" t="inlineStr">
        <is>
          <t>Montador</t>
        </is>
      </c>
      <c r="G43" s="29" t="inlineStr">
        <is>
          <t>Sí</t>
        </is>
      </c>
      <c r="H43" s="142" t="inlineStr">
        <is>
          <t>2024-12-01</t>
        </is>
      </c>
    </row>
    <row r="44">
      <c r="A44" s="29" t="n">
        <v>40</v>
      </c>
      <c r="B44" s="27" t="inlineStr">
        <is>
          <t>Pedro Martínez García</t>
        </is>
      </c>
      <c r="C44" s="27" t="inlineStr">
        <is>
          <t>Pedro Martínez García</t>
        </is>
      </c>
      <c r="D44" s="26" t="n">
        <v>487</v>
      </c>
      <c r="E44" s="26" t="inlineStr">
        <is>
          <t>PLT</t>
        </is>
      </c>
      <c r="F44" s="27" t="n"/>
      <c r="G44" s="26" t="inlineStr">
        <is>
          <t>Sí</t>
        </is>
      </c>
      <c r="H44" s="141" t="inlineStr">
        <is>
          <t>2025-01-03</t>
        </is>
      </c>
    </row>
    <row r="45">
      <c r="A45" s="26" t="n">
        <v>41</v>
      </c>
      <c r="B45" s="30" t="inlineStr">
        <is>
          <t>Pedro Rivera</t>
        </is>
      </c>
      <c r="C45" s="30" t="inlineStr">
        <is>
          <t>Pedro Rivera</t>
        </is>
      </c>
      <c r="D45" s="29" t="n">
        <v>533</v>
      </c>
      <c r="E45" s="29" t="inlineStr">
        <is>
          <t>PLT</t>
        </is>
      </c>
      <c r="F45" s="30" t="n"/>
      <c r="G45" s="29" t="inlineStr">
        <is>
          <t>Sí</t>
        </is>
      </c>
      <c r="H45" s="142" t="inlineStr">
        <is>
          <t>2025-01-31</t>
        </is>
      </c>
    </row>
    <row r="46">
      <c r="A46" s="29" t="n">
        <v>42</v>
      </c>
      <c r="B46" s="27" t="inlineStr">
        <is>
          <t>Ricardo</t>
        </is>
      </c>
      <c r="C46" s="27" t="inlineStr">
        <is>
          <t>Ricardo</t>
        </is>
      </c>
      <c r="D46" s="26" t="n">
        <v>868</v>
      </c>
      <c r="E46" s="26" t="inlineStr">
        <is>
          <t>PLT</t>
        </is>
      </c>
      <c r="F46" s="27" t="n"/>
      <c r="G46" s="26" t="inlineStr">
        <is>
          <t>Sí</t>
        </is>
      </c>
      <c r="H46" s="141" t="inlineStr">
        <is>
          <t>2025-02-02</t>
        </is>
      </c>
    </row>
    <row r="47">
      <c r="A47" s="26" t="n">
        <v>43</v>
      </c>
      <c r="B47" s="30" t="inlineStr">
        <is>
          <t>Ricardo Tapetillo</t>
        </is>
      </c>
      <c r="C47" s="30" t="inlineStr">
        <is>
          <t>Ricardo Tapetillo</t>
        </is>
      </c>
      <c r="D47" s="29" t="n">
        <v>817</v>
      </c>
      <c r="E47" s="29" t="inlineStr">
        <is>
          <t>PLT</t>
        </is>
      </c>
      <c r="F47" s="30" t="n"/>
      <c r="G47" s="29" t="inlineStr">
        <is>
          <t>Sí</t>
        </is>
      </c>
      <c r="H47" s="142" t="inlineStr">
        <is>
          <t>2025-02-03</t>
        </is>
      </c>
    </row>
    <row r="48">
      <c r="A48" s="29" t="n">
        <v>44</v>
      </c>
      <c r="B48" s="27" t="inlineStr">
        <is>
          <t>Salvador (622)</t>
        </is>
      </c>
      <c r="C48" s="27" t="inlineStr">
        <is>
          <t>Salvador</t>
        </is>
      </c>
      <c r="D48" s="26" t="n">
        <v>622</v>
      </c>
      <c r="E48" s="26" t="inlineStr">
        <is>
          <t>PIT</t>
        </is>
      </c>
      <c r="F48" s="27" t="n"/>
      <c r="G48" s="26" t="inlineStr">
        <is>
          <t>Sí</t>
        </is>
      </c>
      <c r="H48" s="141" t="inlineStr">
        <is>
          <t>2025-02-04</t>
        </is>
      </c>
    </row>
    <row r="49">
      <c r="A49" s="26" t="n">
        <v>45</v>
      </c>
      <c r="B49" s="30" t="inlineStr">
        <is>
          <t>Saúl Jaramillo Andrade</t>
        </is>
      </c>
      <c r="C49" s="30" t="inlineStr">
        <is>
          <t>Saúl Jaramillo Andrade</t>
        </is>
      </c>
      <c r="D49" s="29" t="n">
        <v>973</v>
      </c>
      <c r="E49" s="29" t="inlineStr">
        <is>
          <t>PLT</t>
        </is>
      </c>
      <c r="F49" s="30" t="n"/>
      <c r="G49" s="29" t="inlineStr">
        <is>
          <t>Sí</t>
        </is>
      </c>
      <c r="H49" s="142" t="inlineStr">
        <is>
          <t>2025-02-06</t>
        </is>
      </c>
    </row>
    <row r="50">
      <c r="A50" s="26" t="n">
        <v>46</v>
      </c>
      <c r="B50" s="27" t="inlineStr">
        <is>
          <t>Sergio</t>
        </is>
      </c>
      <c r="C50" s="27" t="inlineStr">
        <is>
          <t>Sergio</t>
        </is>
      </c>
      <c r="D50" s="26" t="n">
        <v>832</v>
      </c>
      <c r="E50" s="26" t="inlineStr">
        <is>
          <t>PLT</t>
        </is>
      </c>
      <c r="F50" s="27" t="n"/>
      <c r="G50" s="26" t="inlineStr">
        <is>
          <t>Sí</t>
        </is>
      </c>
      <c r="H50" s="141" t="inlineStr">
        <is>
          <t>2025-02-07</t>
        </is>
      </c>
    </row>
    <row r="51">
      <c r="A51" s="26" t="n">
        <v>47</v>
      </c>
      <c r="B51" s="30" t="inlineStr">
        <is>
          <t>Uriel Andrés</t>
        </is>
      </c>
      <c r="C51" s="30" t="inlineStr">
        <is>
          <t>Uriel Andrés</t>
        </is>
      </c>
      <c r="D51" s="29" t="n">
        <v>843</v>
      </c>
      <c r="E51" s="29" t="inlineStr">
        <is>
          <t>PLT</t>
        </is>
      </c>
      <c r="F51" s="30" t="n"/>
      <c r="G51" s="29" t="inlineStr">
        <is>
          <t>Sí</t>
        </is>
      </c>
      <c r="H51" s="142" t="inlineStr">
        <is>
          <t>2025-02-09</t>
        </is>
      </c>
    </row>
    <row r="52">
      <c r="A52" s="29" t="n">
        <v>48</v>
      </c>
      <c r="B52" s="27" t="inlineStr">
        <is>
          <t>William</t>
        </is>
      </c>
      <c r="C52" s="27" t="inlineStr">
        <is>
          <t>William</t>
        </is>
      </c>
      <c r="D52" s="26" t="n">
        <v>776</v>
      </c>
      <c r="E52" s="26" t="inlineStr">
        <is>
          <t>PLT/PIT</t>
        </is>
      </c>
      <c r="F52" s="27" t="n"/>
      <c r="G52" s="26" t="inlineStr">
        <is>
          <t>Sí</t>
        </is>
      </c>
      <c r="H52" s="141" t="inlineStr">
        <is>
          <t>2025-02-11</t>
        </is>
      </c>
    </row>
    <row r="53">
      <c r="A53" s="26" t="n">
        <v>49</v>
      </c>
      <c r="B53" s="30" t="inlineStr">
        <is>
          <t>Mario</t>
        </is>
      </c>
      <c r="C53" s="30" t="inlineStr">
        <is>
          <t>Mario</t>
        </is>
      </c>
      <c r="D53" s="29" t="n">
        <v>257</v>
      </c>
      <c r="E53" s="29" t="inlineStr">
        <is>
          <t>PLT</t>
        </is>
      </c>
      <c r="F53" s="30" t="n"/>
      <c r="G53" s="29" t="inlineStr">
        <is>
          <t>Sí</t>
        </is>
      </c>
      <c r="H53" s="142" t="inlineStr">
        <is>
          <t>2025-02-12</t>
        </is>
      </c>
    </row>
    <row r="54">
      <c r="A54" s="29" t="n">
        <v>50</v>
      </c>
      <c r="B54" s="27" t="inlineStr">
        <is>
          <t>Luis Armando Galicia Toralex</t>
        </is>
      </c>
      <c r="C54" s="27" t="inlineStr">
        <is>
          <t>Luis Armando Galicia Toralex</t>
        </is>
      </c>
      <c r="D54" s="26" t="n">
        <v>336</v>
      </c>
      <c r="E54" s="26" t="inlineStr">
        <is>
          <t>PLT</t>
        </is>
      </c>
      <c r="F54" s="27" t="n"/>
      <c r="G54" s="26" t="inlineStr">
        <is>
          <t>Sí</t>
        </is>
      </c>
      <c r="H54" s="141" t="inlineStr">
        <is>
          <t>2025-02-13</t>
        </is>
      </c>
    </row>
    <row r="55">
      <c r="A55" s="26" t="n">
        <v>51</v>
      </c>
      <c r="B55" s="30" t="inlineStr">
        <is>
          <t>Eduardo</t>
        </is>
      </c>
      <c r="C55" s="30" t="inlineStr">
        <is>
          <t>Eduardo Siordia</t>
        </is>
      </c>
      <c r="D55" s="29" t="n">
        <v>337</v>
      </c>
      <c r="E55" s="29" t="inlineStr">
        <is>
          <t>PLT</t>
        </is>
      </c>
      <c r="F55" s="30" t="n"/>
      <c r="G55" s="29" t="inlineStr">
        <is>
          <t>Sí</t>
        </is>
      </c>
      <c r="H55" s="142" t="inlineStr">
        <is>
          <t>2025-02-14</t>
        </is>
      </c>
    </row>
    <row r="56">
      <c r="A56" s="29" t="n">
        <v>52</v>
      </c>
      <c r="B56" s="27" t="inlineStr">
        <is>
          <t>Everardo Muñoz</t>
        </is>
      </c>
      <c r="C56" s="27" t="inlineStr">
        <is>
          <t>Everardo Muñoz</t>
        </is>
      </c>
      <c r="D56" s="26" t="n">
        <v>344</v>
      </c>
      <c r="E56" s="26" t="inlineStr">
        <is>
          <t>PLT</t>
        </is>
      </c>
      <c r="F56" s="27" t="n"/>
      <c r="G56" s="26" t="inlineStr">
        <is>
          <t>Sí</t>
        </is>
      </c>
      <c r="H56" s="141" t="inlineStr">
        <is>
          <t>2025-02-16</t>
        </is>
      </c>
    </row>
    <row r="57">
      <c r="A57" s="26" t="n">
        <v>53</v>
      </c>
      <c r="B57" s="30" t="inlineStr">
        <is>
          <t>Óscar Carranza</t>
        </is>
      </c>
      <c r="C57" s="30" t="inlineStr">
        <is>
          <t>Óscar Carranza</t>
        </is>
      </c>
      <c r="D57" s="29" t="n">
        <v>353</v>
      </c>
      <c r="E57" s="29" t="inlineStr">
        <is>
          <t>PLT</t>
        </is>
      </c>
      <c r="F57" s="30" t="n"/>
      <c r="G57" s="29" t="inlineStr">
        <is>
          <t>Sí</t>
        </is>
      </c>
      <c r="H57" s="142" t="inlineStr">
        <is>
          <t>2025-02-17</t>
        </is>
      </c>
    </row>
    <row r="58">
      <c r="A58" s="26" t="n">
        <v>54</v>
      </c>
      <c r="B58" s="27" t="inlineStr">
        <is>
          <t>Hugo Noé</t>
        </is>
      </c>
      <c r="C58" s="27" t="inlineStr">
        <is>
          <t>Hugo Noé</t>
        </is>
      </c>
      <c r="D58" s="26" t="n">
        <v>355</v>
      </c>
      <c r="E58" s="26" t="inlineStr">
        <is>
          <t>PLT</t>
        </is>
      </c>
      <c r="F58" s="27" t="n"/>
      <c r="G58" s="26" t="inlineStr">
        <is>
          <t>Sí</t>
        </is>
      </c>
      <c r="H58" s="141" t="inlineStr">
        <is>
          <t>2025-02-18</t>
        </is>
      </c>
    </row>
    <row r="59">
      <c r="A59" s="26" t="n">
        <v>55</v>
      </c>
      <c r="B59" s="30" t="inlineStr">
        <is>
          <t>Hugo (355)</t>
        </is>
      </c>
      <c r="C59" s="30" t="inlineStr">
        <is>
          <t>Hugo</t>
        </is>
      </c>
      <c r="D59" s="29" t="n">
        <v>355</v>
      </c>
      <c r="E59" s="29" t="inlineStr">
        <is>
          <t>PLT</t>
        </is>
      </c>
      <c r="F59" s="30" t="n"/>
      <c r="G59" s="29" t="inlineStr">
        <is>
          <t>Sí</t>
        </is>
      </c>
      <c r="H59" s="142" t="inlineStr">
        <is>
          <t>2025-02-19</t>
        </is>
      </c>
    </row>
    <row r="60">
      <c r="A60" s="29" t="n">
        <v>56</v>
      </c>
      <c r="B60" s="27" t="inlineStr">
        <is>
          <t>Antonio</t>
        </is>
      </c>
      <c r="C60" s="27" t="inlineStr">
        <is>
          <t>Antonio</t>
        </is>
      </c>
      <c r="D60" s="26" t="n">
        <v>372</v>
      </c>
      <c r="E60" s="26" t="inlineStr">
        <is>
          <t>PLT</t>
        </is>
      </c>
      <c r="F60" s="27" t="n"/>
      <c r="G60" s="26" t="inlineStr">
        <is>
          <t>Sí</t>
        </is>
      </c>
      <c r="H60" s="141" t="inlineStr">
        <is>
          <t>2025-02-21</t>
        </is>
      </c>
    </row>
    <row r="61">
      <c r="A61" s="26" t="n">
        <v>57</v>
      </c>
      <c r="B61" s="30" t="inlineStr">
        <is>
          <t>Edgar</t>
        </is>
      </c>
      <c r="C61" s="30" t="inlineStr">
        <is>
          <t>Edgar</t>
        </is>
      </c>
      <c r="D61" s="29" t="n">
        <v>381</v>
      </c>
      <c r="E61" s="29" t="inlineStr">
        <is>
          <t>PLT</t>
        </is>
      </c>
      <c r="F61" s="30" t="n"/>
      <c r="G61" s="29" t="inlineStr">
        <is>
          <t>Sí</t>
        </is>
      </c>
      <c r="H61" s="142" t="inlineStr">
        <is>
          <t>2025-02-22</t>
        </is>
      </c>
    </row>
    <row r="62">
      <c r="A62" s="29" t="n">
        <v>58</v>
      </c>
      <c r="B62" s="27" t="inlineStr">
        <is>
          <t>Felipe (417)</t>
        </is>
      </c>
      <c r="C62" s="27" t="inlineStr">
        <is>
          <t>Felipe</t>
        </is>
      </c>
      <c r="D62" s="26" t="n">
        <v>417</v>
      </c>
      <c r="E62" s="26" t="inlineStr">
        <is>
          <t>PLT</t>
        </is>
      </c>
      <c r="F62" s="27" t="n"/>
      <c r="G62" s="26" t="inlineStr">
        <is>
          <t>Sí</t>
        </is>
      </c>
      <c r="H62" s="141" t="inlineStr">
        <is>
          <t>2025-02-23</t>
        </is>
      </c>
    </row>
    <row r="63">
      <c r="A63" s="26" t="n">
        <v>59</v>
      </c>
      <c r="B63" s="30" t="inlineStr">
        <is>
          <t>Vicente Yahir Domínguez</t>
        </is>
      </c>
      <c r="C63" s="30" t="inlineStr">
        <is>
          <t>Vicente Yahir Domínguez</t>
        </is>
      </c>
      <c r="D63" s="29" t="n">
        <v>428</v>
      </c>
      <c r="E63" s="29" t="inlineStr">
        <is>
          <t>PLT</t>
        </is>
      </c>
      <c r="F63" s="30" t="n"/>
      <c r="G63" s="29" t="inlineStr">
        <is>
          <t>Sí</t>
        </is>
      </c>
      <c r="H63" s="142" t="inlineStr">
        <is>
          <t>2025-02-24</t>
        </is>
      </c>
    </row>
    <row r="64">
      <c r="A64" s="29" t="n">
        <v>60</v>
      </c>
      <c r="B64" s="27" t="inlineStr">
        <is>
          <t>Jesús</t>
        </is>
      </c>
      <c r="C64" s="27" t="inlineStr">
        <is>
          <t>Jesús</t>
        </is>
      </c>
      <c r="D64" s="26" t="n">
        <v>437</v>
      </c>
      <c r="E64" s="26" t="inlineStr">
        <is>
          <t>PLT</t>
        </is>
      </c>
      <c r="F64" s="27" t="n"/>
      <c r="G64" s="26" t="inlineStr">
        <is>
          <t>Sí</t>
        </is>
      </c>
      <c r="H64" s="141" t="inlineStr">
        <is>
          <t>2025-02-25</t>
        </is>
      </c>
    </row>
    <row r="65">
      <c r="A65" s="26" t="n">
        <v>61</v>
      </c>
      <c r="B65" s="30" t="inlineStr">
        <is>
          <t>Ismael Bernal</t>
        </is>
      </c>
      <c r="C65" s="30" t="inlineStr">
        <is>
          <t>Ismael Bernal</t>
        </is>
      </c>
      <c r="D65" s="29" t="n">
        <v>462</v>
      </c>
      <c r="E65" s="29" t="inlineStr">
        <is>
          <t>PLT</t>
        </is>
      </c>
      <c r="F65" s="30" t="n"/>
      <c r="G65" s="29" t="inlineStr">
        <is>
          <t>Sí</t>
        </is>
      </c>
      <c r="H65" s="142" t="inlineStr">
        <is>
          <t>2025-02-26</t>
        </is>
      </c>
    </row>
    <row r="66">
      <c r="A66" s="26" t="n">
        <v>62</v>
      </c>
      <c r="B66" s="27" t="inlineStr">
        <is>
          <t>Luis Íñiguez</t>
        </is>
      </c>
      <c r="C66" s="27" t="inlineStr">
        <is>
          <t>Luis Íñiguez</t>
        </is>
      </c>
      <c r="D66" s="26" t="n">
        <v>473</v>
      </c>
      <c r="E66" s="26" t="inlineStr">
        <is>
          <t>PLT</t>
        </is>
      </c>
      <c r="F66" s="27" t="n"/>
      <c r="G66" s="26" t="inlineStr">
        <is>
          <t>Sí</t>
        </is>
      </c>
      <c r="H66" s="141" t="inlineStr">
        <is>
          <t>2025-02-27</t>
        </is>
      </c>
    </row>
    <row r="67">
      <c r="A67" s="26" t="n">
        <v>63</v>
      </c>
      <c r="B67" s="30" t="inlineStr">
        <is>
          <t>Rubén</t>
        </is>
      </c>
      <c r="C67" s="30" t="inlineStr">
        <is>
          <t>Rubén</t>
        </is>
      </c>
      <c r="D67" s="29" t="n">
        <v>475</v>
      </c>
      <c r="E67" s="29" t="inlineStr">
        <is>
          <t>PLT</t>
        </is>
      </c>
      <c r="F67" s="30" t="n"/>
      <c r="G67" s="29" t="inlineStr">
        <is>
          <t>Sí</t>
        </is>
      </c>
      <c r="H67" s="142" t="inlineStr">
        <is>
          <t>2025-02-28</t>
        </is>
      </c>
    </row>
    <row r="68">
      <c r="A68" s="29" t="n">
        <v>64</v>
      </c>
      <c r="B68" s="27" t="inlineStr">
        <is>
          <t>Iván Díaz</t>
        </is>
      </c>
      <c r="C68" s="27" t="inlineStr">
        <is>
          <t>Iván Díaz</t>
        </is>
      </c>
      <c r="D68" s="26" t="n">
        <v>487</v>
      </c>
      <c r="E68" s="26" t="inlineStr">
        <is>
          <t>PLT</t>
        </is>
      </c>
      <c r="F68" s="27" t="n"/>
      <c r="G68" s="26" t="inlineStr">
        <is>
          <t>Sí</t>
        </is>
      </c>
      <c r="H68" s="141" t="inlineStr">
        <is>
          <t>2025-03-02</t>
        </is>
      </c>
    </row>
    <row r="69">
      <c r="A69" s="26" t="n">
        <v>65</v>
      </c>
      <c r="B69" s="30" t="inlineStr">
        <is>
          <t>Cervando Leos</t>
        </is>
      </c>
      <c r="C69" s="30" t="inlineStr">
        <is>
          <t>Cervando Leos</t>
        </is>
      </c>
      <c r="D69" s="29" t="n">
        <v>578</v>
      </c>
      <c r="E69" s="29" t="inlineStr">
        <is>
          <t>PLT</t>
        </is>
      </c>
      <c r="F69" s="30" t="n"/>
      <c r="G69" s="29" t="inlineStr">
        <is>
          <t>Sí</t>
        </is>
      </c>
      <c r="H69" s="142" t="inlineStr">
        <is>
          <t>2025-03-03</t>
        </is>
      </c>
    </row>
    <row r="70">
      <c r="A70" s="29" t="n">
        <v>66</v>
      </c>
      <c r="B70" s="27" t="inlineStr">
        <is>
          <t>Benjamín (578)</t>
        </is>
      </c>
      <c r="C70" s="27" t="inlineStr">
        <is>
          <t>Benjamín</t>
        </is>
      </c>
      <c r="D70" s="26" t="n">
        <v>578</v>
      </c>
      <c r="E70" s="26" t="inlineStr">
        <is>
          <t>PLT</t>
        </is>
      </c>
      <c r="F70" s="27" t="n"/>
      <c r="G70" s="26" t="inlineStr">
        <is>
          <t>Sí</t>
        </is>
      </c>
      <c r="H70" s="141" t="inlineStr">
        <is>
          <t>2025-03-04</t>
        </is>
      </c>
    </row>
    <row r="71">
      <c r="A71" s="26" t="n">
        <v>67</v>
      </c>
      <c r="B71" s="30" t="inlineStr">
        <is>
          <t>Miguel Ortiz Méndez</t>
        </is>
      </c>
      <c r="C71" s="30" t="inlineStr">
        <is>
          <t>Miguel Ortiz Méndez</t>
        </is>
      </c>
      <c r="D71" s="29" t="n">
        <v>584</v>
      </c>
      <c r="E71" s="29" t="inlineStr">
        <is>
          <t>PLT</t>
        </is>
      </c>
      <c r="F71" s="30" t="n"/>
      <c r="G71" s="29" t="inlineStr">
        <is>
          <t>Sí</t>
        </is>
      </c>
      <c r="H71" s="142" t="inlineStr">
        <is>
          <t>2025-03-05</t>
        </is>
      </c>
    </row>
    <row r="72">
      <c r="A72" s="29" t="n">
        <v>68</v>
      </c>
      <c r="B72" s="27" t="inlineStr">
        <is>
          <t>Jaime</t>
        </is>
      </c>
      <c r="C72" s="27" t="inlineStr">
        <is>
          <t>Jaime</t>
        </is>
      </c>
      <c r="D72" s="26" t="n">
        <v>682</v>
      </c>
      <c r="E72" s="26" t="inlineStr">
        <is>
          <t>PLT</t>
        </is>
      </c>
      <c r="F72" s="27" t="n"/>
      <c r="G72" s="26" t="inlineStr">
        <is>
          <t>Sí</t>
        </is>
      </c>
      <c r="H72" s="141" t="inlineStr">
        <is>
          <t>2025-03-06</t>
        </is>
      </c>
    </row>
    <row r="73">
      <c r="A73" s="26" t="n">
        <v>69</v>
      </c>
      <c r="B73" s="30" t="inlineStr">
        <is>
          <t>Molina</t>
        </is>
      </c>
      <c r="C73" s="30" t="inlineStr">
        <is>
          <t>Molina</t>
        </is>
      </c>
      <c r="D73" s="29" t="n">
        <v>754</v>
      </c>
      <c r="E73" s="29" t="inlineStr">
        <is>
          <t>PLT</t>
        </is>
      </c>
      <c r="F73" s="30" t="n"/>
      <c r="G73" s="29" t="inlineStr">
        <is>
          <t>Sí</t>
        </is>
      </c>
      <c r="H73" s="142" t="inlineStr">
        <is>
          <t>2025-03-07</t>
        </is>
      </c>
    </row>
    <row r="74">
      <c r="A74" s="26" t="n">
        <v>70</v>
      </c>
      <c r="B74" s="27" t="inlineStr">
        <is>
          <t>Daniel</t>
        </is>
      </c>
      <c r="C74" s="27" t="inlineStr">
        <is>
          <t>Daniel</t>
        </is>
      </c>
      <c r="D74" s="26" t="n">
        <v>772</v>
      </c>
      <c r="E74" s="26" t="inlineStr">
        <is>
          <t>PLT</t>
        </is>
      </c>
      <c r="F74" s="27" t="n"/>
      <c r="G74" s="26" t="inlineStr">
        <is>
          <t>Sí</t>
        </is>
      </c>
      <c r="H74" s="141" t="inlineStr">
        <is>
          <t>2025-03-08</t>
        </is>
      </c>
    </row>
    <row r="75">
      <c r="A75" s="26" t="n">
        <v>71</v>
      </c>
      <c r="B75" s="30" t="inlineStr">
        <is>
          <t>Carlos Anguiano</t>
        </is>
      </c>
      <c r="C75" s="30" t="inlineStr">
        <is>
          <t>Carlos Anguiano</t>
        </is>
      </c>
      <c r="D75" s="29" t="n">
        <v>777</v>
      </c>
      <c r="E75" s="29" t="inlineStr">
        <is>
          <t>PLT</t>
        </is>
      </c>
      <c r="F75" s="30" t="n"/>
      <c r="G75" s="29" t="inlineStr">
        <is>
          <t>Sí</t>
        </is>
      </c>
      <c r="H75" s="142" t="inlineStr">
        <is>
          <t>2025-03-09</t>
        </is>
      </c>
    </row>
    <row r="76">
      <c r="A76" s="29" t="n">
        <v>72</v>
      </c>
      <c r="B76" s="27" t="inlineStr">
        <is>
          <t>Julio (828)</t>
        </is>
      </c>
      <c r="C76" s="27" t="inlineStr">
        <is>
          <t>Julio</t>
        </is>
      </c>
      <c r="D76" s="26" t="n">
        <v>828</v>
      </c>
      <c r="E76" s="26" t="inlineStr">
        <is>
          <t>PLT</t>
        </is>
      </c>
      <c r="F76" s="27" t="n"/>
      <c r="G76" s="26" t="inlineStr">
        <is>
          <t>Sí</t>
        </is>
      </c>
      <c r="H76" s="141" t="inlineStr">
        <is>
          <t>2025-03-10</t>
        </is>
      </c>
    </row>
    <row r="77">
      <c r="A77" s="26" t="n">
        <v>73</v>
      </c>
      <c r="B77" s="30" t="inlineStr">
        <is>
          <t>José Luis Tamayo</t>
        </is>
      </c>
      <c r="C77" s="30" t="inlineStr">
        <is>
          <t>José Luis Tamayo</t>
        </is>
      </c>
      <c r="D77" s="29" t="n">
        <v>366</v>
      </c>
      <c r="E77" s="29" t="inlineStr">
        <is>
          <t>TLL</t>
        </is>
      </c>
      <c r="F77" s="30" t="inlineStr">
        <is>
          <t>Montador</t>
        </is>
      </c>
      <c r="G77" s="29" t="inlineStr">
        <is>
          <t>Sí</t>
        </is>
      </c>
      <c r="H77" s="142" t="inlineStr">
        <is>
          <t>2024-09-01</t>
        </is>
      </c>
    </row>
    <row r="78">
      <c r="A78" s="29" t="n">
        <v>74</v>
      </c>
      <c r="B78" s="27" t="inlineStr">
        <is>
          <t>Valentín Machuca</t>
        </is>
      </c>
      <c r="C78" s="27" t="inlineStr">
        <is>
          <t>Valentín Machuca</t>
        </is>
      </c>
      <c r="D78" s="26" t="n">
        <v>421</v>
      </c>
      <c r="E78" s="26" t="inlineStr">
        <is>
          <t>TLL</t>
        </is>
      </c>
      <c r="F78" s="27" t="inlineStr">
        <is>
          <t>Aseo</t>
        </is>
      </c>
      <c r="G78" s="26" t="inlineStr">
        <is>
          <t>Sí</t>
        </is>
      </c>
      <c r="H78" s="141" t="inlineStr">
        <is>
          <t>2024-10-01</t>
        </is>
      </c>
    </row>
    <row r="79">
      <c r="A79" s="26" t="n">
        <v>75</v>
      </c>
      <c r="B79" s="30" t="inlineStr">
        <is>
          <t>Jonathan Valderra Reyes</t>
        </is>
      </c>
      <c r="C79" s="30" t="inlineStr">
        <is>
          <t>Jonathan Valderra Reyes</t>
        </is>
      </c>
      <c r="D79" s="29" t="n">
        <v>424</v>
      </c>
      <c r="E79" s="29" t="inlineStr">
        <is>
          <t>TLL</t>
        </is>
      </c>
      <c r="F79" s="30" t="inlineStr">
        <is>
          <t>Burbuja</t>
        </is>
      </c>
      <c r="G79" s="29" t="inlineStr">
        <is>
          <t>Sí</t>
        </is>
      </c>
      <c r="H79" s="142" t="inlineStr">
        <is>
          <t>2024-11-15</t>
        </is>
      </c>
    </row>
    <row r="80">
      <c r="A80" s="29" t="n">
        <v>76</v>
      </c>
      <c r="B80" s="27" t="inlineStr">
        <is>
          <t>Salvador Preciado Gutiérrez</t>
        </is>
      </c>
      <c r="C80" s="27" t="inlineStr">
        <is>
          <t>Salvador Preciado Gutiérrez</t>
        </is>
      </c>
      <c r="D80" s="26" t="n">
        <v>528</v>
      </c>
      <c r="E80" s="26" t="inlineStr">
        <is>
          <t>TLL</t>
        </is>
      </c>
      <c r="F80" s="27" t="inlineStr">
        <is>
          <t>Ventana</t>
        </is>
      </c>
      <c r="G80" s="26" t="inlineStr">
        <is>
          <t>Sí</t>
        </is>
      </c>
      <c r="H80" s="141" t="inlineStr">
        <is>
          <t>2024-12-10</t>
        </is>
      </c>
    </row>
    <row r="81">
      <c r="A81" s="26" t="n">
        <v>77</v>
      </c>
      <c r="B81" s="30" t="inlineStr">
        <is>
          <t>Benjamín Ezequiel Ramos Hernández</t>
        </is>
      </c>
      <c r="C81" s="30" t="inlineStr">
        <is>
          <t>Benjamín Ezequiel Ramos Hernández</t>
        </is>
      </c>
      <c r="D81" s="29" t="n">
        <v>578</v>
      </c>
      <c r="E81" s="29" t="inlineStr">
        <is>
          <t>TLL</t>
        </is>
      </c>
      <c r="F81" s="30" t="inlineStr">
        <is>
          <t>Detallador</t>
        </is>
      </c>
      <c r="G81" s="29" t="inlineStr">
        <is>
          <t>Sí</t>
        </is>
      </c>
      <c r="H81" s="142" t="inlineStr">
        <is>
          <t>2025-01-02</t>
        </is>
      </c>
    </row>
    <row r="82">
      <c r="A82" s="26" t="n">
        <v>78</v>
      </c>
      <c r="B82" s="27" t="inlineStr">
        <is>
          <t>Víctor Flores Gámez</t>
        </is>
      </c>
      <c r="C82" s="27" t="inlineStr">
        <is>
          <t>Víctor Flores Gámez</t>
        </is>
      </c>
      <c r="D82" s="26" t="n">
        <v>584</v>
      </c>
      <c r="E82" s="26" t="inlineStr">
        <is>
          <t>TLL</t>
        </is>
      </c>
      <c r="F82" s="27" t="inlineStr">
        <is>
          <t>Rayador</t>
        </is>
      </c>
      <c r="G82" s="26" t="inlineStr">
        <is>
          <t>Sí</t>
        </is>
      </c>
      <c r="H82" s="141" t="inlineStr">
        <is>
          <t>2025-01-15</t>
        </is>
      </c>
    </row>
    <row r="83">
      <c r="A83" s="26" t="n">
        <v>79</v>
      </c>
      <c r="B83" s="30" t="inlineStr">
        <is>
          <t>Óscar Eduardo Razo Valadez</t>
        </is>
      </c>
      <c r="C83" s="30" t="inlineStr">
        <is>
          <t>Óscar Eduardo Razo Valadez</t>
        </is>
      </c>
      <c r="D83" s="29" t="n">
        <v>616</v>
      </c>
      <c r="E83" s="29" t="inlineStr">
        <is>
          <t>TLL</t>
        </is>
      </c>
      <c r="F83" s="30" t="inlineStr">
        <is>
          <t>Burbuja</t>
        </is>
      </c>
      <c r="G83" s="29" t="inlineStr">
        <is>
          <t>Sí</t>
        </is>
      </c>
      <c r="H83" s="142" t="inlineStr">
        <is>
          <t>2025-02-01</t>
        </is>
      </c>
    </row>
    <row r="84">
      <c r="A84" s="29" t="n">
        <v>80</v>
      </c>
      <c r="B84" s="27" t="inlineStr">
        <is>
          <t>José Román Flores Flores</t>
        </is>
      </c>
      <c r="C84" s="27" t="inlineStr">
        <is>
          <t>José Román Flores Flores</t>
        </is>
      </c>
      <c r="D84" s="26" t="n">
        <v>657</v>
      </c>
      <c r="E84" s="26" t="inlineStr">
        <is>
          <t>TLL</t>
        </is>
      </c>
      <c r="F84" s="27" t="inlineStr">
        <is>
          <t>Ventana</t>
        </is>
      </c>
      <c r="G84" s="26" t="inlineStr">
        <is>
          <t>Sí</t>
        </is>
      </c>
      <c r="H84" s="141" t="inlineStr">
        <is>
          <t>2024-11-20</t>
        </is>
      </c>
    </row>
    <row r="85">
      <c r="A85" s="26" t="n">
        <v>81</v>
      </c>
      <c r="B85" s="30" t="inlineStr">
        <is>
          <t>Nemecio Rincón Martínez</t>
        </is>
      </c>
      <c r="C85" s="30" t="inlineStr">
        <is>
          <t>Nemecio Rincón Martínez</t>
        </is>
      </c>
      <c r="D85" s="29" t="n">
        <v>884</v>
      </c>
      <c r="E85" s="29" t="inlineStr">
        <is>
          <t>TLL</t>
        </is>
      </c>
      <c r="F85" s="30" t="inlineStr">
        <is>
          <t>Montador</t>
        </is>
      </c>
      <c r="G85" s="29" t="inlineStr">
        <is>
          <t>Sí</t>
        </is>
      </c>
      <c r="H85" s="142" t="inlineStr">
        <is>
          <t>2024-10-20</t>
        </is>
      </c>
    </row>
    <row r="86">
      <c r="A86" s="29" t="n">
        <v>82</v>
      </c>
      <c r="B86" s="27" t="inlineStr">
        <is>
          <t>Marco Antonio López Aguilera</t>
        </is>
      </c>
      <c r="C86" s="27" t="inlineStr">
        <is>
          <t>Marco Antonio López Aguilera</t>
        </is>
      </c>
      <c r="D86" s="26" t="n">
        <v>882</v>
      </c>
      <c r="E86" s="26" t="inlineStr">
        <is>
          <t>TLL</t>
        </is>
      </c>
      <c r="F86" s="27" t="inlineStr">
        <is>
          <t>Montador</t>
        </is>
      </c>
      <c r="G86" s="26" t="inlineStr">
        <is>
          <t>Sí</t>
        </is>
      </c>
      <c r="H86" s="141" t="inlineStr">
        <is>
          <t>2024-12-05</t>
        </is>
      </c>
    </row>
    <row r="87">
      <c r="A87" s="26" t="n">
        <v>83</v>
      </c>
      <c r="B87" s="30" t="inlineStr">
        <is>
          <t>Carlos Francisco Trinidad</t>
        </is>
      </c>
      <c r="C87" s="30" t="inlineStr">
        <is>
          <t>Carlos Francisco Trinidad</t>
        </is>
      </c>
      <c r="D87" s="29" t="n">
        <v>1067</v>
      </c>
      <c r="E87" s="29" t="inlineStr">
        <is>
          <t>TLL</t>
        </is>
      </c>
      <c r="F87" s="30" t="inlineStr">
        <is>
          <t>Detallador</t>
        </is>
      </c>
      <c r="G87" s="29" t="inlineStr">
        <is>
          <t>Sí</t>
        </is>
      </c>
      <c r="H87" s="142" t="inlineStr">
        <is>
          <t>2025-01-10</t>
        </is>
      </c>
    </row>
    <row r="88">
      <c r="A88" s="29" t="n">
        <v>84</v>
      </c>
      <c r="B88" s="27" t="inlineStr">
        <is>
          <t>Ricardo Vargas Hernández</t>
        </is>
      </c>
      <c r="C88" s="27" t="inlineStr">
        <is>
          <t>Ricardo Vargas Hernández</t>
        </is>
      </c>
      <c r="D88" s="26" t="n">
        <v>741</v>
      </c>
      <c r="E88" s="26" t="inlineStr">
        <is>
          <t>TLL</t>
        </is>
      </c>
      <c r="F88" s="27" t="inlineStr">
        <is>
          <t>Rayador</t>
        </is>
      </c>
      <c r="G88" s="26" t="inlineStr">
        <is>
          <t>Sí</t>
        </is>
      </c>
      <c r="H88" s="141" t="inlineStr">
        <is>
          <t>2025-02-10</t>
        </is>
      </c>
    </row>
    <row r="89">
      <c r="A89" s="26" t="n">
        <v>85</v>
      </c>
      <c r="B89" s="30" t="inlineStr">
        <is>
          <t>Gerónimo Cruz Cabrera</t>
        </is>
      </c>
      <c r="C89" s="30" t="inlineStr">
        <is>
          <t>Gerónimo Cruz Cabrera</t>
        </is>
      </c>
      <c r="D89" s="29" t="n">
        <v>455</v>
      </c>
      <c r="E89" s="29" t="inlineStr">
        <is>
          <t>TLL</t>
        </is>
      </c>
      <c r="F89" s="30" t="inlineStr">
        <is>
          <t>Torcedor</t>
        </is>
      </c>
      <c r="G89" s="29" t="inlineStr">
        <is>
          <t>Sí</t>
        </is>
      </c>
      <c r="H89" s="142" t="inlineStr">
        <is>
          <t>2024-09-15</t>
        </is>
      </c>
    </row>
    <row r="90">
      <c r="A90" s="26" t="n">
        <v>86</v>
      </c>
      <c r="B90" s="27" t="inlineStr">
        <is>
          <t>Martín Sánchez Serio</t>
        </is>
      </c>
      <c r="C90" s="27" t="inlineStr">
        <is>
          <t>Martín Sánchez Serio</t>
        </is>
      </c>
      <c r="D90" s="26" t="n">
        <v>854</v>
      </c>
      <c r="E90" s="26" t="inlineStr">
        <is>
          <t>TLL</t>
        </is>
      </c>
      <c r="F90" s="27" t="inlineStr">
        <is>
          <t>Torcedor</t>
        </is>
      </c>
      <c r="G90" s="26" t="inlineStr">
        <is>
          <t>Sí</t>
        </is>
      </c>
      <c r="H90" s="141" t="inlineStr">
        <is>
          <t>2024-10-05</t>
        </is>
      </c>
    </row>
    <row r="91">
      <c r="A91" s="26" t="n">
        <v>87</v>
      </c>
      <c r="B91" s="30" t="inlineStr">
        <is>
          <t>José Luis Carrillo</t>
        </is>
      </c>
      <c r="C91" s="30" t="inlineStr">
        <is>
          <t>José Luis Carrillo</t>
        </is>
      </c>
      <c r="D91" s="29" t="n">
        <v>862</v>
      </c>
      <c r="E91" s="29" t="inlineStr">
        <is>
          <t>TLL</t>
        </is>
      </c>
      <c r="F91" s="30" t="inlineStr">
        <is>
          <t>Torcedor</t>
        </is>
      </c>
      <c r="G91" s="29" t="inlineStr">
        <is>
          <t>Sí</t>
        </is>
      </c>
      <c r="H91" s="142" t="inlineStr">
        <is>
          <t>2024-11-01</t>
        </is>
      </c>
    </row>
    <row r="92">
      <c r="A92" s="29" t="n">
        <v>88</v>
      </c>
      <c r="B92" s="27" t="inlineStr">
        <is>
          <t>José Moisés Martínez Juárez</t>
        </is>
      </c>
      <c r="C92" s="27" t="inlineStr">
        <is>
          <t>José Moisés Martínez Juárez</t>
        </is>
      </c>
      <c r="D92" s="26" t="n">
        <v>644</v>
      </c>
      <c r="E92" s="26" t="inlineStr">
        <is>
          <t>TLL</t>
        </is>
      </c>
      <c r="F92" s="27" t="inlineStr">
        <is>
          <t>Torcedor</t>
        </is>
      </c>
      <c r="G92" s="26" t="inlineStr">
        <is>
          <t>Sí</t>
        </is>
      </c>
      <c r="H92" s="141" t="inlineStr">
        <is>
          <t>2025-01-05</t>
        </is>
      </c>
    </row>
    <row r="93">
      <c r="A93" s="33" t="n">
        <v>89</v>
      </c>
      <c r="B93" s="49" t="inlineStr">
        <is>
          <t>Alejandro Villanueva</t>
        </is>
      </c>
      <c r="C93" s="49" t="inlineStr">
        <is>
          <t>Alejandro Villanueva</t>
        </is>
      </c>
      <c r="D93" s="33" t="n">
        <v>324</v>
      </c>
      <c r="E93" s="33" t="n"/>
      <c r="F93" s="49" t="n"/>
      <c r="G93" s="26" t="inlineStr">
        <is>
          <t>Sí</t>
        </is>
      </c>
      <c r="H93" s="51" t="n">
        <v>46251</v>
      </c>
    </row>
    <row r="94">
      <c r="A94" s="34" t="n">
        <v>90</v>
      </c>
      <c r="B94" s="50" t="inlineStr">
        <is>
          <t>Carlos (335)</t>
        </is>
      </c>
      <c r="C94" s="50" t="inlineStr">
        <is>
          <t>Carlos Alberto</t>
        </is>
      </c>
      <c r="D94" s="34" t="n">
        <v>335</v>
      </c>
      <c r="E94" s="34" t="inlineStr">
        <is>
          <t>PLT</t>
        </is>
      </c>
      <c r="F94" s="50" t="n"/>
      <c r="G94" s="26" t="inlineStr">
        <is>
          <t>Sí</t>
        </is>
      </c>
      <c r="H94" s="52" t="n">
        <v>46251</v>
      </c>
    </row>
    <row r="95">
      <c r="A95" s="33" t="n">
        <v>91</v>
      </c>
      <c r="B95" s="49" t="inlineStr">
        <is>
          <t>Hector</t>
        </is>
      </c>
      <c r="C95" s="49" t="inlineStr">
        <is>
          <t>Hector</t>
        </is>
      </c>
      <c r="D95" s="33" t="n">
        <v>337</v>
      </c>
      <c r="E95" s="33" t="inlineStr">
        <is>
          <t>PLT</t>
        </is>
      </c>
      <c r="F95" s="49" t="n"/>
      <c r="G95" s="26" t="inlineStr">
        <is>
          <t>Sí</t>
        </is>
      </c>
      <c r="H95" s="51" t="n">
        <v>46251</v>
      </c>
    </row>
    <row r="96">
      <c r="A96" s="34" t="n">
        <v>92</v>
      </c>
      <c r="B96" s="50" t="inlineStr">
        <is>
          <t>Oscar (353)</t>
        </is>
      </c>
      <c r="C96" s="50" t="inlineStr">
        <is>
          <t>Oscar</t>
        </is>
      </c>
      <c r="D96" s="34" t="n">
        <v>353</v>
      </c>
      <c r="E96" s="34" t="inlineStr">
        <is>
          <t>PLT</t>
        </is>
      </c>
      <c r="F96" s="50" t="n"/>
      <c r="G96" s="26" t="inlineStr">
        <is>
          <t>Sí</t>
        </is>
      </c>
      <c r="H96" s="52" t="n">
        <v>46251</v>
      </c>
    </row>
    <row r="97">
      <c r="A97" s="33" t="n">
        <v>93</v>
      </c>
      <c r="B97" s="49" t="inlineStr">
        <is>
          <t>Trinidad</t>
        </is>
      </c>
      <c r="C97" s="49" t="inlineStr">
        <is>
          <t>Trinidad</t>
        </is>
      </c>
      <c r="D97" s="33" t="n">
        <v>371</v>
      </c>
      <c r="E97" s="33" t="inlineStr">
        <is>
          <t>Mixto</t>
        </is>
      </c>
      <c r="F97" s="49" t="n"/>
      <c r="G97" s="26" t="inlineStr">
        <is>
          <t>Sí</t>
        </is>
      </c>
      <c r="H97" s="33" t="n"/>
    </row>
    <row r="98">
      <c r="A98" s="34" t="n">
        <v>94</v>
      </c>
      <c r="B98" s="50" t="inlineStr">
        <is>
          <t>Hugo (741)</t>
        </is>
      </c>
      <c r="C98" s="50" t="inlineStr">
        <is>
          <t>Hugo</t>
        </is>
      </c>
      <c r="D98" s="34" t="n">
        <v>741</v>
      </c>
      <c r="E98" s="34" t="inlineStr">
        <is>
          <t>PLT/PIT</t>
        </is>
      </c>
      <c r="F98" s="50" t="n"/>
      <c r="G98" s="26" t="inlineStr">
        <is>
          <t>Sí</t>
        </is>
      </c>
      <c r="H98" s="34" t="n"/>
    </row>
    <row r="99">
      <c r="A99" s="33" t="n">
        <v>95</v>
      </c>
      <c r="B99" s="49" t="inlineStr">
        <is>
          <t>Angel (756)</t>
        </is>
      </c>
      <c r="C99" s="49" t="inlineStr">
        <is>
          <t>Ángel</t>
        </is>
      </c>
      <c r="D99" s="33" t="n">
        <v>756</v>
      </c>
      <c r="E99" s="33" t="inlineStr">
        <is>
          <t>PLT/PIT</t>
        </is>
      </c>
      <c r="F99" s="49" t="n"/>
      <c r="G99" s="26" t="inlineStr">
        <is>
          <t>Sí</t>
        </is>
      </c>
      <c r="H99" s="33" t="n"/>
    </row>
    <row r="100">
      <c r="A100" s="34" t="n">
        <v>96</v>
      </c>
      <c r="B100" s="50" t="inlineStr">
        <is>
          <t>Alfredo (757)</t>
        </is>
      </c>
      <c r="C100" s="50" t="inlineStr">
        <is>
          <t>Alfredo</t>
        </is>
      </c>
      <c r="D100" s="34" t="n">
        <v>757</v>
      </c>
      <c r="E100" s="34" t="inlineStr">
        <is>
          <t>PLT/PIT</t>
        </is>
      </c>
      <c r="F100" s="50" t="n"/>
      <c r="G100" s="26" t="inlineStr">
        <is>
          <t>Sí</t>
        </is>
      </c>
      <c r="H100" s="34" t="n"/>
    </row>
    <row r="101">
      <c r="A101" s="33" t="n">
        <v>97</v>
      </c>
      <c r="B101" s="49" t="inlineStr">
        <is>
          <t>Juan (515)</t>
        </is>
      </c>
      <c r="C101" s="49" t="inlineStr">
        <is>
          <t>Juan</t>
        </is>
      </c>
      <c r="D101" s="33" t="n">
        <v>515</v>
      </c>
      <c r="E101" s="33" t="inlineStr">
        <is>
          <t>PLT/PIT</t>
        </is>
      </c>
      <c r="F101" s="49" t="n"/>
      <c r="G101" s="26" t="inlineStr">
        <is>
          <t>Sí</t>
        </is>
      </c>
      <c r="H101" s="33" t="n"/>
    </row>
    <row r="102">
      <c r="A102" s="34" t="n">
        <v>98</v>
      </c>
      <c r="B102" s="50" t="inlineStr">
        <is>
          <t>Noé (565)</t>
        </is>
      </c>
      <c r="C102" s="50" t="inlineStr">
        <is>
          <t>Noé</t>
        </is>
      </c>
      <c r="D102" s="34" t="n">
        <v>565</v>
      </c>
      <c r="E102" s="34" t="inlineStr">
        <is>
          <t>PLT/PIT</t>
        </is>
      </c>
      <c r="F102" s="50" t="n"/>
      <c r="G102" s="26" t="inlineStr">
        <is>
          <t>Sí</t>
        </is>
      </c>
      <c r="H102" s="52" t="n">
        <v>46252</v>
      </c>
    </row>
    <row r="103">
      <c r="A103" s="33" t="n">
        <v>99</v>
      </c>
      <c r="B103" s="49" t="inlineStr">
        <is>
          <t>Oscar (737)</t>
        </is>
      </c>
      <c r="C103" s="49" t="inlineStr">
        <is>
          <t>Oscar</t>
        </is>
      </c>
      <c r="D103" s="33" t="n">
        <v>737</v>
      </c>
      <c r="E103" s="33" t="inlineStr">
        <is>
          <t>PLT/PIT</t>
        </is>
      </c>
      <c r="F103" s="49" t="n"/>
      <c r="G103" s="26" t="inlineStr">
        <is>
          <t>Sí</t>
        </is>
      </c>
      <c r="H103" s="51" t="n">
        <v>46252</v>
      </c>
    </row>
    <row r="104">
      <c r="A104" s="34" t="n">
        <v>100</v>
      </c>
      <c r="B104" s="50" t="inlineStr">
        <is>
          <t>José (216)</t>
        </is>
      </c>
      <c r="C104" s="50" t="inlineStr">
        <is>
          <t>José</t>
        </is>
      </c>
      <c r="D104" s="34" t="n">
        <v>216</v>
      </c>
      <c r="E104" s="34" t="inlineStr">
        <is>
          <t>PLT/PIT</t>
        </is>
      </c>
      <c r="F104" s="50" t="n"/>
      <c r="G104" s="26" t="inlineStr">
        <is>
          <t>Sí</t>
        </is>
      </c>
      <c r="H104" s="34" t="n"/>
    </row>
    <row r="105">
      <c r="A105" s="33" t="n">
        <v>101</v>
      </c>
      <c r="B105" s="49" t="inlineStr">
        <is>
          <t>José Antonio</t>
        </is>
      </c>
      <c r="C105" s="49" t="inlineStr">
        <is>
          <t>José Antonio</t>
        </is>
      </c>
      <c r="D105" s="33" t="n">
        <v>315</v>
      </c>
      <c r="E105" s="33" t="inlineStr">
        <is>
          <t>PLT/PIT</t>
        </is>
      </c>
      <c r="F105" s="49" t="n"/>
      <c r="G105" s="33" t="inlineStr">
        <is>
          <t>Sí</t>
        </is>
      </c>
      <c r="H105" s="51" t="n">
        <v>46252</v>
      </c>
    </row>
    <row r="106">
      <c r="A106" s="34" t="n">
        <v>102</v>
      </c>
      <c r="B106" s="50" t="inlineStr">
        <is>
          <t>Luis (474)</t>
        </is>
      </c>
      <c r="C106" s="50" t="inlineStr">
        <is>
          <t>Luis</t>
        </is>
      </c>
      <c r="D106" s="34" t="n">
        <v>474</v>
      </c>
      <c r="E106" s="34" t="inlineStr">
        <is>
          <t>PLT/PIT</t>
        </is>
      </c>
      <c r="F106" s="50" t="n"/>
      <c r="G106" s="34" t="inlineStr">
        <is>
          <t>Sí</t>
        </is>
      </c>
      <c r="H106" s="52" t="n">
        <v>46252</v>
      </c>
    </row>
    <row r="107">
      <c r="A107" s="143" t="n">
        <v>103</v>
      </c>
      <c r="B107" s="144" t="inlineStr">
        <is>
          <t>Ángel (762)</t>
        </is>
      </c>
      <c r="C107" s="144" t="inlineStr">
        <is>
          <t>Ángel (762)</t>
        </is>
      </c>
      <c r="D107" s="143" t="n">
        <v>762</v>
      </c>
      <c r="E107" s="143" t="inlineStr">
        <is>
          <t>PLT</t>
        </is>
      </c>
      <c r="F107" s="144" t="n"/>
      <c r="G107" s="143" t="inlineStr">
        <is>
          <t>Sí</t>
        </is>
      </c>
      <c r="H107" s="143" t="n"/>
    </row>
    <row r="108">
      <c r="A108" s="145" t="n">
        <v>104</v>
      </c>
      <c r="B108" s="146" t="inlineStr">
        <is>
          <t>Eduardo Siordia</t>
        </is>
      </c>
      <c r="C108" s="146" t="inlineStr">
        <is>
          <t>Eduardo Siordia</t>
        </is>
      </c>
      <c r="D108" s="145" t="n">
        <v>337</v>
      </c>
      <c r="E108" s="145" t="inlineStr">
        <is>
          <t>PLT</t>
        </is>
      </c>
      <c r="F108" s="146" t="n"/>
      <c r="G108" s="145" t="inlineStr">
        <is>
          <t>Sí</t>
        </is>
      </c>
      <c r="H108" s="145" t="n"/>
    </row>
    <row r="109">
      <c r="A109" s="143" t="n">
        <v>105</v>
      </c>
      <c r="B109" s="144" t="inlineStr">
        <is>
          <t>Octavio (264)</t>
        </is>
      </c>
      <c r="C109" s="144" t="inlineStr">
        <is>
          <t>Octavio (264)</t>
        </is>
      </c>
      <c r="D109" s="143" t="n">
        <v>264</v>
      </c>
      <c r="E109" s="143" t="inlineStr">
        <is>
          <t>PLT</t>
        </is>
      </c>
      <c r="F109" s="144" t="n"/>
      <c r="G109" s="143" t="inlineStr">
        <is>
          <t>Sí</t>
        </is>
      </c>
      <c r="H109" s="143" t="n"/>
    </row>
    <row r="110">
      <c r="A110" s="145" t="n">
        <v>106</v>
      </c>
      <c r="B110" s="146" t="inlineStr">
        <is>
          <t>Hector Melecio</t>
        </is>
      </c>
      <c r="C110" s="146" t="inlineStr">
        <is>
          <t>Hector Melecio</t>
        </is>
      </c>
      <c r="D110" s="145" t="n">
        <v>852</v>
      </c>
      <c r="E110" s="145" t="inlineStr">
        <is>
          <t>PLT</t>
        </is>
      </c>
      <c r="F110" s="146" t="n"/>
      <c r="G110" s="145" t="inlineStr">
        <is>
          <t>Sí</t>
        </is>
      </c>
      <c r="H110" s="145" t="n"/>
    </row>
    <row r="111">
      <c r="A111" s="143" t="n">
        <v>107</v>
      </c>
      <c r="B111" s="144" t="inlineStr">
        <is>
          <t>José (644)</t>
        </is>
      </c>
      <c r="C111" s="144" t="inlineStr">
        <is>
          <t>José (644)</t>
        </is>
      </c>
      <c r="D111" s="143" t="n">
        <v>644</v>
      </c>
      <c r="E111" s="143" t="inlineStr">
        <is>
          <t>PLT</t>
        </is>
      </c>
      <c r="F111" s="144" t="n"/>
      <c r="G111" s="143" t="inlineStr">
        <is>
          <t>Sí</t>
        </is>
      </c>
      <c r="H111" s="143" t="n"/>
    </row>
    <row r="112">
      <c r="A112" s="145" t="n">
        <v>108</v>
      </c>
      <c r="B112" s="146" t="inlineStr">
        <is>
          <t>Antonio</t>
        </is>
      </c>
      <c r="C112" s="146" t="inlineStr">
        <is>
          <t>Antonio</t>
        </is>
      </c>
      <c r="D112" s="145" t="n">
        <v>315</v>
      </c>
      <c r="E112" s="145" t="inlineStr">
        <is>
          <t>PLT</t>
        </is>
      </c>
      <c r="F112" s="146" t="n"/>
      <c r="G112" s="145" t="inlineStr">
        <is>
          <t>Sí</t>
        </is>
      </c>
      <c r="H112" s="145" t="n"/>
    </row>
    <row r="113">
      <c r="A113" s="147" t="n">
        <v>109</v>
      </c>
      <c r="B113" s="147" t="inlineStr">
        <is>
          <t>Gerónimo Cruz</t>
        </is>
      </c>
      <c r="C113" s="147" t="inlineStr">
        <is>
          <t>Gerónimo Cruz</t>
        </is>
      </c>
      <c r="D113" s="147" t="n">
        <v>455</v>
      </c>
      <c r="E113" s="147" t="inlineStr">
        <is>
          <t>PLT</t>
        </is>
      </c>
      <c r="F113" s="147" t="n"/>
      <c r="G113" s="147" t="inlineStr">
        <is>
          <t>Sí</t>
        </is>
      </c>
      <c r="H113" s="147" t="n"/>
    </row>
    <row r="114">
      <c r="A114" s="32" t="inlineStr">
        <is>
          <t>Para que un trabajador nuevo aparezca en las nóminas de plata: Tipo debe contener PLT y Activo = Sí. Luego escríbelo en las filas grises de Nomina-Imprimir.</t>
        </is>
      </c>
    </row>
  </sheetData>
  <dataValidations count="2">
    <dataValidation sqref="G5:G112" showDropDown="0" showInputMessage="0" showErrorMessage="0" allowBlank="1" type="list">
      <formula1>"Sí,No"</formula1>
    </dataValidation>
    <dataValidation sqref="E5:E112" showDropDown="0" showInputMessage="0" showErrorMessage="0" allowBlank="1" type="list">
      <formula1>"PLT,PIT,TLL,PLT/PIT,Mixto"</formula1>
    </dataValidation>
  </dataValidations>
  <pageMargins left="0.75" right="0.75" top="1" bottom="1" header="0.5" footer="0.5"/>
  <pageSetup orientation="portrait" paperSize="9" horizontalDpi="0" verticalDpi="0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:XFD1048576"/>
    </sheetView>
  </sheetViews>
  <sheetFormatPr baseColWidth="10" defaultColWidth="9.140625" defaultRowHeight="15"/>
  <cols>
    <col width="35.7109375" bestFit="1" customWidth="1" style="116" min="1" max="1"/>
    <col width="8.5703125" bestFit="1" customWidth="1" style="116" min="2" max="2"/>
    <col width="17.28515625" bestFit="1" customWidth="1" style="116" min="3" max="3"/>
    <col width="17.85546875" bestFit="1" customWidth="1" style="116" min="4" max="4"/>
    <col width="12.5703125" bestFit="1" customWidth="1" style="116" min="5" max="5"/>
  </cols>
  <sheetData>
    <row r="1" ht="17.25" customHeight="1" s="116">
      <c r="A1" s="1" t="inlineStr">
        <is>
          <t>CATÁLOGO DE MODELOS (FAJOS)</t>
        </is>
      </c>
    </row>
    <row r="3">
      <c r="A3" s="4" t="inlineStr">
        <is>
          <t>Modelo</t>
        </is>
      </c>
      <c r="B3" s="4" t="inlineStr">
        <is>
          <t>Tipo</t>
        </is>
      </c>
      <c r="C3" s="4" t="inlineStr">
        <is>
          <t>Material Default</t>
        </is>
      </c>
      <c r="D3" s="4" t="inlineStr">
        <is>
          <t>Tarifa Default ($)</t>
        </is>
      </c>
      <c r="E3" s="4" t="inlineStr">
        <is>
          <t>Notas</t>
        </is>
      </c>
    </row>
    <row r="4">
      <c r="A4" s="8" t="inlineStr">
        <is>
          <t>SECUENCIA</t>
        </is>
      </c>
      <c r="B4" s="7" t="inlineStr">
        <is>
          <t>PLT</t>
        </is>
      </c>
      <c r="C4" s="7" t="inlineStr">
        <is>
          <t>AG3</t>
        </is>
      </c>
      <c r="D4" s="7" t="n">
        <v>12</v>
      </c>
      <c r="E4" s="8" t="inlineStr">
        <is>
          <t>Por gramo</t>
        </is>
      </c>
    </row>
    <row r="5">
      <c r="A5" s="6" t="inlineStr">
        <is>
          <t>CUBOS</t>
        </is>
      </c>
      <c r="B5" s="5" t="inlineStr">
        <is>
          <t>PLT</t>
        </is>
      </c>
      <c r="C5" s="5" t="inlineStr">
        <is>
          <t>AG3</t>
        </is>
      </c>
      <c r="D5" s="5" t="n">
        <v>12</v>
      </c>
      <c r="E5" s="6" t="inlineStr">
        <is>
          <t>Por gramo</t>
        </is>
      </c>
    </row>
    <row r="6">
      <c r="A6" s="8" t="inlineStr">
        <is>
          <t>CINCO CORDONES</t>
        </is>
      </c>
      <c r="B6" s="7" t="inlineStr">
        <is>
          <t>PLT</t>
        </is>
      </c>
      <c r="C6" s="7" t="inlineStr">
        <is>
          <t>AG3</t>
        </is>
      </c>
      <c r="D6" s="7" t="n">
        <v>12</v>
      </c>
      <c r="E6" s="8" t="inlineStr">
        <is>
          <t>Por gramo</t>
        </is>
      </c>
    </row>
    <row r="7">
      <c r="A7" s="6" t="inlineStr">
        <is>
          <t>CENTELLA</t>
        </is>
      </c>
      <c r="B7" s="5" t="inlineStr">
        <is>
          <t>PLT</t>
        </is>
      </c>
      <c r="C7" s="5" t="inlineStr">
        <is>
          <t>AG3</t>
        </is>
      </c>
      <c r="D7" s="5" t="n">
        <v>12</v>
      </c>
      <c r="E7" s="6" t="inlineStr">
        <is>
          <t>Por gramo</t>
        </is>
      </c>
    </row>
    <row r="8">
      <c r="A8" s="8" t="inlineStr">
        <is>
          <t>CENTELLAS</t>
        </is>
      </c>
      <c r="B8" s="7" t="inlineStr">
        <is>
          <t>PLT</t>
        </is>
      </c>
      <c r="C8" s="7" t="inlineStr">
        <is>
          <t>AG3</t>
        </is>
      </c>
      <c r="D8" s="7" t="n">
        <v>12</v>
      </c>
      <c r="E8" s="8" t="inlineStr">
        <is>
          <t>Por gramo</t>
        </is>
      </c>
    </row>
    <row r="9">
      <c r="A9" s="6" t="inlineStr">
        <is>
          <t>ROMBOS</t>
        </is>
      </c>
      <c r="B9" s="5" t="inlineStr">
        <is>
          <t>PLT</t>
        </is>
      </c>
      <c r="C9" s="5" t="inlineStr">
        <is>
          <t>AG3</t>
        </is>
      </c>
      <c r="D9" s="5" t="n">
        <v>12</v>
      </c>
      <c r="E9" s="6" t="inlineStr">
        <is>
          <t>Por gramo</t>
        </is>
      </c>
    </row>
    <row r="10">
      <c r="A10" s="8" t="inlineStr">
        <is>
          <t>SANTA MARÍA</t>
        </is>
      </c>
      <c r="B10" s="7" t="inlineStr">
        <is>
          <t>PLT</t>
        </is>
      </c>
      <c r="C10" s="7" t="inlineStr">
        <is>
          <t>AG3</t>
        </is>
      </c>
      <c r="D10" s="7" t="n">
        <v>12</v>
      </c>
      <c r="E10" s="8" t="inlineStr">
        <is>
          <t>Por gramo</t>
        </is>
      </c>
    </row>
    <row r="11">
      <c r="A11" s="6" t="inlineStr">
        <is>
          <t>PAVO</t>
        </is>
      </c>
      <c r="B11" s="5" t="inlineStr">
        <is>
          <t>PLT</t>
        </is>
      </c>
      <c r="C11" s="5" t="inlineStr">
        <is>
          <t>AG3</t>
        </is>
      </c>
      <c r="D11" s="5" t="n">
        <v>12</v>
      </c>
      <c r="E11" s="6" t="inlineStr">
        <is>
          <t>Por gramo</t>
        </is>
      </c>
    </row>
    <row r="12">
      <c r="A12" s="8" t="inlineStr">
        <is>
          <t>PETATILLO</t>
        </is>
      </c>
      <c r="B12" s="7" t="inlineStr">
        <is>
          <t>PLT</t>
        </is>
      </c>
      <c r="C12" s="7" t="inlineStr">
        <is>
          <t>AG3</t>
        </is>
      </c>
      <c r="D12" s="7" t="n">
        <v>12</v>
      </c>
      <c r="E12" s="8" t="inlineStr">
        <is>
          <t>Por gramo</t>
        </is>
      </c>
    </row>
    <row r="13">
      <c r="A13" s="6" t="inlineStr">
        <is>
          <t>CHINELA</t>
        </is>
      </c>
      <c r="B13" s="5" t="inlineStr">
        <is>
          <t>PLT</t>
        </is>
      </c>
      <c r="C13" s="5" t="inlineStr">
        <is>
          <t>AG3</t>
        </is>
      </c>
      <c r="D13" s="5" t="n">
        <v>12</v>
      </c>
      <c r="E13" s="6" t="inlineStr">
        <is>
          <t>Por gramo</t>
        </is>
      </c>
    </row>
    <row r="14">
      <c r="A14" s="8" t="inlineStr">
        <is>
          <t>CHINELA GUÍA</t>
        </is>
      </c>
      <c r="B14" s="7" t="inlineStr">
        <is>
          <t>PLT</t>
        </is>
      </c>
      <c r="C14" s="7" t="inlineStr">
        <is>
          <t>AG3</t>
        </is>
      </c>
      <c r="D14" s="7" t="n">
        <v>12</v>
      </c>
      <c r="E14" s="8" t="inlineStr">
        <is>
          <t>Por gramo</t>
        </is>
      </c>
    </row>
    <row r="15">
      <c r="A15" s="6" t="inlineStr">
        <is>
          <t>COPA CABANA</t>
        </is>
      </c>
      <c r="B15" s="5" t="inlineStr">
        <is>
          <t>PLT</t>
        </is>
      </c>
      <c r="C15" s="5" t="inlineStr">
        <is>
          <t>AG3</t>
        </is>
      </c>
      <c r="D15" s="5" t="n">
        <v>12</v>
      </c>
      <c r="E15" s="6" t="inlineStr">
        <is>
          <t>Por gramo</t>
        </is>
      </c>
    </row>
    <row r="16">
      <c r="A16" s="8" t="inlineStr">
        <is>
          <t>GUÍA</t>
        </is>
      </c>
      <c r="B16" s="7" t="inlineStr">
        <is>
          <t>PLT</t>
        </is>
      </c>
      <c r="C16" s="7" t="inlineStr">
        <is>
          <t>AG3</t>
        </is>
      </c>
      <c r="D16" s="7" t="n">
        <v>12</v>
      </c>
      <c r="E16" s="8" t="inlineStr">
        <is>
          <t>Por gramo</t>
        </is>
      </c>
    </row>
    <row r="17">
      <c r="A17" s="6" t="inlineStr">
        <is>
          <t>AROS</t>
        </is>
      </c>
      <c r="B17" s="5" t="inlineStr">
        <is>
          <t>PLT</t>
        </is>
      </c>
      <c r="C17" s="5" t="inlineStr">
        <is>
          <t>AG3</t>
        </is>
      </c>
      <c r="D17" s="5" t="n">
        <v>13</v>
      </c>
      <c r="E17" s="6" t="inlineStr">
        <is>
          <t>Por gramo</t>
        </is>
      </c>
    </row>
    <row r="18">
      <c r="A18" s="8" t="inlineStr">
        <is>
          <t>QUIMERA</t>
        </is>
      </c>
      <c r="B18" s="7" t="inlineStr">
        <is>
          <t>PLT</t>
        </is>
      </c>
      <c r="C18" s="7" t="inlineStr">
        <is>
          <t>AG3</t>
        </is>
      </c>
      <c r="D18" s="7" t="n">
        <v>12</v>
      </c>
      <c r="E18" s="8" t="inlineStr">
        <is>
          <t>Por gramo</t>
        </is>
      </c>
    </row>
    <row r="19">
      <c r="A19" s="6" t="inlineStr">
        <is>
          <t>MIL HOJAS</t>
        </is>
      </c>
      <c r="B19" s="5" t="inlineStr">
        <is>
          <t>PLT</t>
        </is>
      </c>
      <c r="C19" s="5" t="inlineStr">
        <is>
          <t>AG3</t>
        </is>
      </c>
      <c r="D19" s="5" t="n">
        <v>15</v>
      </c>
      <c r="E19" s="6" t="inlineStr">
        <is>
          <t>Por gramo</t>
        </is>
      </c>
    </row>
    <row r="20">
      <c r="A20" s="8" t="inlineStr">
        <is>
          <t>TOQUILLA</t>
        </is>
      </c>
      <c r="B20" s="7" t="inlineStr">
        <is>
          <t>PLT</t>
        </is>
      </c>
      <c r="C20" s="7" t="inlineStr">
        <is>
          <t>AG3</t>
        </is>
      </c>
      <c r="D20" s="7" t="n">
        <v>12</v>
      </c>
      <c r="E20" s="8" t="inlineStr">
        <is>
          <t>Por gramo</t>
        </is>
      </c>
    </row>
    <row r="21">
      <c r="A21" s="6" t="inlineStr">
        <is>
          <t>REPARACIÓN</t>
        </is>
      </c>
      <c r="B21" s="5" t="inlineStr">
        <is>
          <t>PLT</t>
        </is>
      </c>
      <c r="C21" s="5" t="inlineStr">
        <is>
          <t>AG3</t>
        </is>
      </c>
      <c r="D21" s="5" t="n">
        <v>12</v>
      </c>
      <c r="E21" s="6" t="inlineStr">
        <is>
          <t>Por gramo</t>
        </is>
      </c>
    </row>
    <row r="22">
      <c r="A22" s="8" t="inlineStr">
        <is>
          <t>VIRGEN</t>
        </is>
      </c>
      <c r="B22" s="7" t="inlineStr">
        <is>
          <t>PLT</t>
        </is>
      </c>
      <c r="C22" s="7" t="inlineStr">
        <is>
          <t>AG3</t>
        </is>
      </c>
      <c r="D22" s="7" t="n">
        <v>14</v>
      </c>
      <c r="E22" s="8" t="inlineStr">
        <is>
          <t>Por gramo</t>
        </is>
      </c>
    </row>
    <row r="23">
      <c r="A23" s="6" t="inlineStr">
        <is>
          <t>PUNTO HUICHOL</t>
        </is>
      </c>
      <c r="B23" s="5" t="inlineStr">
        <is>
          <t>PLT</t>
        </is>
      </c>
      <c r="C23" s="5" t="inlineStr">
        <is>
          <t>AG3</t>
        </is>
      </c>
      <c r="D23" s="5" t="n">
        <v>17</v>
      </c>
      <c r="E23" s="6" t="inlineStr">
        <is>
          <t>Por gramo</t>
        </is>
      </c>
    </row>
    <row r="24">
      <c r="A24" s="8" t="inlineStr">
        <is>
          <t>CADENA</t>
        </is>
      </c>
      <c r="B24" s="7" t="inlineStr">
        <is>
          <t>PLT</t>
        </is>
      </c>
      <c r="C24" s="7" t="inlineStr">
        <is>
          <t>AG3</t>
        </is>
      </c>
      <c r="D24" s="7" t="n">
        <v>12</v>
      </c>
      <c r="E24" s="8" t="inlineStr">
        <is>
          <t>Por gramo</t>
        </is>
      </c>
    </row>
    <row r="25">
      <c r="A25" s="6" t="inlineStr">
        <is>
          <t>HEBILLA</t>
        </is>
      </c>
      <c r="B25" s="5" t="inlineStr">
        <is>
          <t>PLT</t>
        </is>
      </c>
      <c r="C25" s="5" t="inlineStr">
        <is>
          <t>AG3</t>
        </is>
      </c>
      <c r="D25" s="5" t="n">
        <v>12</v>
      </c>
      <c r="E25" s="6" t="inlineStr">
        <is>
          <t>Por gramo</t>
        </is>
      </c>
    </row>
    <row r="26">
      <c r="A26" s="8" t="inlineStr">
        <is>
          <t>AROS</t>
        </is>
      </c>
      <c r="B26" s="7" t="inlineStr">
        <is>
          <t>PIT</t>
        </is>
      </c>
      <c r="C26" s="7" t="inlineStr">
        <is>
          <t>PITA 6X6</t>
        </is>
      </c>
      <c r="D26" s="7" t="n"/>
      <c r="E26" s="8" t="inlineStr">
        <is>
          <t>Precio variable</t>
        </is>
      </c>
    </row>
    <row r="27">
      <c r="A27" s="6" t="inlineStr">
        <is>
          <t>MIL CRUCES</t>
        </is>
      </c>
      <c r="B27" s="5" t="inlineStr">
        <is>
          <t>PIT</t>
        </is>
      </c>
      <c r="C27" s="5" t="inlineStr">
        <is>
          <t>PITA 6X6</t>
        </is>
      </c>
      <c r="D27" s="5" t="n"/>
      <c r="E27" s="6" t="inlineStr">
        <is>
          <t>Precio variable</t>
        </is>
      </c>
    </row>
    <row r="28">
      <c r="A28" s="8" t="inlineStr">
        <is>
          <t>CINCO CORDONES</t>
        </is>
      </c>
      <c r="B28" s="7" t="inlineStr">
        <is>
          <t>PIT</t>
        </is>
      </c>
      <c r="C28" s="7" t="inlineStr">
        <is>
          <t>PITA 6X6</t>
        </is>
      </c>
      <c r="D28" s="7" t="n"/>
      <c r="E28" s="8" t="inlineStr">
        <is>
          <t>Precio variable</t>
        </is>
      </c>
    </row>
    <row r="29">
      <c r="A29" s="6" t="inlineStr">
        <is>
          <t>GUÍA FLORES</t>
        </is>
      </c>
      <c r="B29" s="5" t="inlineStr">
        <is>
          <t>PIT</t>
        </is>
      </c>
      <c r="C29" s="5" t="inlineStr">
        <is>
          <t>PITA 6X6</t>
        </is>
      </c>
      <c r="D29" s="5" t="n"/>
      <c r="E29" s="6" t="inlineStr">
        <is>
          <t>Precio variable</t>
        </is>
      </c>
    </row>
    <row r="30">
      <c r="A30" s="8" t="inlineStr">
        <is>
          <t>QUIMERA</t>
        </is>
      </c>
      <c r="B30" s="7" t="inlineStr">
        <is>
          <t>PIT</t>
        </is>
      </c>
      <c r="C30" s="7" t="inlineStr">
        <is>
          <t>PITA 6X6</t>
        </is>
      </c>
      <c r="D30" s="7" t="n"/>
      <c r="E30" s="8" t="inlineStr">
        <is>
          <t>Precio variable</t>
        </is>
      </c>
    </row>
    <row r="31">
      <c r="A31" s="6" t="inlineStr">
        <is>
          <t>COPA CABANA</t>
        </is>
      </c>
      <c r="B31" s="5" t="inlineStr">
        <is>
          <t>PIT</t>
        </is>
      </c>
      <c r="C31" s="5" t="inlineStr">
        <is>
          <t>PITA 6X6</t>
        </is>
      </c>
      <c r="D31" s="5" t="n"/>
      <c r="E31" s="6" t="inlineStr">
        <is>
          <t>Precio variable</t>
        </is>
      </c>
    </row>
    <row r="32">
      <c r="A32" s="8" t="inlineStr">
        <is>
          <t>RANCHO</t>
        </is>
      </c>
      <c r="B32" s="7" t="inlineStr">
        <is>
          <t>PIT</t>
        </is>
      </c>
      <c r="C32" s="7" t="inlineStr">
        <is>
          <t>PITA 6X6</t>
        </is>
      </c>
      <c r="D32" s="7" t="n"/>
      <c r="E32" s="8" t="inlineStr">
        <is>
          <t>Precio variable</t>
        </is>
      </c>
    </row>
    <row r="33">
      <c r="A33" s="6" t="inlineStr">
        <is>
          <t>MIL HOJAS</t>
        </is>
      </c>
      <c r="B33" s="5" t="inlineStr">
        <is>
          <t>PIT</t>
        </is>
      </c>
      <c r="C33" s="5" t="inlineStr">
        <is>
          <t>PITA 3X3/4X4/6X6</t>
        </is>
      </c>
      <c r="D33" s="5" t="n"/>
      <c r="E33" s="6" t="inlineStr">
        <is>
          <t>Precio variable</t>
        </is>
      </c>
    </row>
    <row r="34">
      <c r="A34" s="8" t="inlineStr">
        <is>
          <t>FUNDA PARA NAVAJA</t>
        </is>
      </c>
      <c r="B34" s="7" t="inlineStr">
        <is>
          <t>PIT</t>
        </is>
      </c>
      <c r="C34" s="7" t="inlineStr">
        <is>
          <t>PITA 4X4/6X6</t>
        </is>
      </c>
      <c r="D34" s="7" t="n"/>
      <c r="E34" s="8" t="inlineStr">
        <is>
          <t>Precio variable</t>
        </is>
      </c>
    </row>
    <row r="35">
      <c r="A35" s="6" t="inlineStr">
        <is>
          <t>GUÍA OVALO</t>
        </is>
      </c>
      <c r="B35" s="5" t="inlineStr">
        <is>
          <t>PIT</t>
        </is>
      </c>
      <c r="C35" s="5" t="inlineStr">
        <is>
          <t>PITA 6X6</t>
        </is>
      </c>
      <c r="D35" s="5" t="n"/>
      <c r="E35" s="6" t="inlineStr">
        <is>
          <t>Precio variable</t>
        </is>
      </c>
    </row>
    <row r="36">
      <c r="A36" s="8" t="inlineStr">
        <is>
          <t>MOSAICO</t>
        </is>
      </c>
      <c r="B36" s="7" t="inlineStr">
        <is>
          <t>PIT</t>
        </is>
      </c>
      <c r="C36" s="7" t="inlineStr">
        <is>
          <t>PITA 6X6</t>
        </is>
      </c>
      <c r="D36" s="7" t="n"/>
      <c r="E36" s="8" t="inlineStr">
        <is>
          <t>Precio variable</t>
        </is>
      </c>
    </row>
    <row r="37">
      <c r="A37" s="6" t="inlineStr">
        <is>
          <t>GRECAS</t>
        </is>
      </c>
      <c r="B37" s="5" t="inlineStr">
        <is>
          <t>PIT</t>
        </is>
      </c>
      <c r="C37" s="5" t="inlineStr">
        <is>
          <t>PITA 6X6</t>
        </is>
      </c>
      <c r="D37" s="5" t="n"/>
      <c r="E37" s="6" t="inlineStr">
        <is>
          <t>Precio variable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10" defaultColWidth="9.140625" defaultRowHeight="15"/>
  <cols>
    <col width="12" customWidth="1" style="116" min="1" max="1"/>
    <col width="20" customWidth="1" style="116" min="2" max="2"/>
    <col width="28" customWidth="1" style="116" min="3" max="3"/>
  </cols>
  <sheetData>
    <row r="1" ht="17.25" customHeight="1" s="116">
      <c r="A1" s="1" t="inlineStr">
        <is>
          <t>TARIFAS DE LABOR POR MATERIAL (PLT)</t>
        </is>
      </c>
    </row>
    <row r="3">
      <c r="A3" s="4" t="inlineStr">
        <is>
          <t>Material</t>
        </is>
      </c>
      <c r="B3" s="4" t="inlineStr">
        <is>
          <t>Tarifa por Gramo ($)</t>
        </is>
      </c>
      <c r="C3" s="4" t="inlineStr">
        <is>
          <t>Descripción</t>
        </is>
      </c>
    </row>
    <row r="4">
      <c r="A4" s="7" t="inlineStr">
        <is>
          <t>AG3</t>
        </is>
      </c>
      <c r="B4" s="7" t="n">
        <v>12</v>
      </c>
      <c r="C4" s="7" t="inlineStr">
        <is>
          <t>Plata AG3 estándar</t>
        </is>
      </c>
    </row>
    <row r="5">
      <c r="A5" s="5" t="inlineStr">
        <is>
          <t>AG4</t>
        </is>
      </c>
      <c r="B5" s="5" t="n">
        <v>13</v>
      </c>
      <c r="C5" s="5" t="inlineStr">
        <is>
          <t>Plata AG4</t>
        </is>
      </c>
    </row>
    <row r="6">
      <c r="A6" s="7" t="inlineStr">
        <is>
          <t>DOL</t>
        </is>
      </c>
      <c r="B6" s="7" t="n">
        <v>13</v>
      </c>
      <c r="C6" s="7" t="inlineStr">
        <is>
          <t>Dorado / Metal dorado</t>
        </is>
      </c>
    </row>
    <row r="7">
      <c r="A7" s="5" t="inlineStr">
        <is>
          <t>DLO</t>
        </is>
      </c>
      <c r="B7" s="5" t="n">
        <v>13</v>
      </c>
      <c r="C7" s="5" t="inlineStr">
        <is>
          <t>Dorado (variante)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10" defaultColWidth="9.140625" defaultRowHeight="15"/>
  <cols>
    <col width="10" customWidth="1" style="116" min="1" max="1"/>
    <col width="12" customWidth="1" style="116" min="2" max="3"/>
    <col width="13" customWidth="1" style="116" min="4" max="6"/>
    <col width="15" customWidth="1" style="116" min="7" max="7"/>
    <col width="18" customWidth="1" style="116" min="8" max="8"/>
  </cols>
  <sheetData>
    <row r="1" ht="17.25" customHeight="1" s="116">
      <c r="A1" s="1" t="inlineStr">
        <is>
          <t>RESUMEN DE NÓMINAS POR SEMANA — 2026</t>
        </is>
      </c>
    </row>
    <row r="2">
      <c r="A2" s="10" t="inlineStr">
        <is>
          <t>Anota los totales de cada semana. El Total se calcula automáticamente.</t>
        </is>
      </c>
    </row>
    <row r="4">
      <c r="A4" s="4" t="inlineStr">
        <is>
          <t>Semana</t>
        </is>
      </c>
      <c r="B4" s="4" t="inlineStr">
        <is>
          <t>Fecha Inicio</t>
        </is>
      </c>
      <c r="C4" s="4" t="inlineStr">
        <is>
          <t>Fecha Fin</t>
        </is>
      </c>
      <c r="D4" s="4" t="inlineStr">
        <is>
          <t>Nómina PLT ($)</t>
        </is>
      </c>
      <c r="E4" s="4" t="inlineStr">
        <is>
          <t>Nómina PIT ($)</t>
        </is>
      </c>
      <c r="F4" s="4" t="inlineStr">
        <is>
          <t>Nómina TLL ($)</t>
        </is>
      </c>
      <c r="G4" s="4" t="inlineStr">
        <is>
          <t>TOTAL SEMANA ($)</t>
        </is>
      </c>
      <c r="H4" s="4" t="inlineStr">
        <is>
          <t>Notas</t>
        </is>
      </c>
    </row>
    <row r="5">
      <c r="A5" s="11" t="inlineStr">
        <is>
          <t>02-05</t>
        </is>
      </c>
      <c r="B5" s="11" t="inlineStr">
        <is>
          <t>2026-05-02</t>
        </is>
      </c>
      <c r="C5" s="11" t="inlineStr">
        <is>
          <t>2026-05-08</t>
        </is>
      </c>
      <c r="D5" s="12" t="n">
        <v>25145</v>
      </c>
      <c r="E5" s="12" t="n">
        <v>9715</v>
      </c>
      <c r="F5" s="12" t="n">
        <v>29344.4</v>
      </c>
      <c r="G5" s="13">
        <f>SUM(D5:F5)</f>
        <v/>
      </c>
      <c r="H5" s="11" t="inlineStr">
        <is>
          <t>Ejemplo</t>
        </is>
      </c>
    </row>
    <row r="6">
      <c r="A6" s="14" t="inlineStr">
        <is>
          <t>16-05</t>
        </is>
      </c>
      <c r="B6" s="14" t="inlineStr">
        <is>
          <t>2026-05-16</t>
        </is>
      </c>
      <c r="C6" s="14" t="inlineStr">
        <is>
          <t>2026-05-22</t>
        </is>
      </c>
      <c r="D6" s="15" t="n">
        <v>21771.9</v>
      </c>
      <c r="E6" s="15" t="n">
        <v>15102</v>
      </c>
      <c r="F6" s="15" t="n">
        <v>33504.4</v>
      </c>
      <c r="G6" s="13">
        <f>SUM(D6:F6)</f>
        <v/>
      </c>
      <c r="H6" s="11" t="inlineStr">
        <is>
          <t>Ejemplo</t>
        </is>
      </c>
    </row>
    <row r="7">
      <c r="A7" s="11" t="inlineStr">
        <is>
          <t>30-05</t>
        </is>
      </c>
      <c r="B7" s="11" t="inlineStr">
        <is>
          <t>2026-05-30</t>
        </is>
      </c>
      <c r="C7" s="11" t="inlineStr">
        <is>
          <t>2026-06-05</t>
        </is>
      </c>
      <c r="D7" s="12" t="n">
        <v>25145</v>
      </c>
      <c r="E7" s="12" t="n">
        <v>15151</v>
      </c>
      <c r="F7" s="12" t="n">
        <v>27379.46</v>
      </c>
      <c r="G7" s="13">
        <f>SUM(D7:F7)</f>
        <v/>
      </c>
      <c r="H7" s="11" t="inlineStr">
        <is>
          <t>Ejemplo</t>
        </is>
      </c>
    </row>
    <row r="8">
      <c r="A8" s="14" t="inlineStr">
        <is>
          <t>18-07</t>
        </is>
      </c>
      <c r="B8" s="14" t="inlineStr">
        <is>
          <t>2026-07-18</t>
        </is>
      </c>
      <c r="C8" s="14" t="inlineStr">
        <is>
          <t>2026-07-24</t>
        </is>
      </c>
      <c r="D8" s="14" t="n"/>
      <c r="E8" s="15" t="n">
        <v>10341</v>
      </c>
      <c r="F8" s="15" t="n">
        <v>27806</v>
      </c>
      <c r="G8" s="13">
        <f>SUM(D8:F8)</f>
        <v/>
      </c>
      <c r="H8" s="11" t="inlineStr">
        <is>
          <t>Parcial</t>
        </is>
      </c>
    </row>
    <row r="9">
      <c r="A9" s="9" t="n"/>
      <c r="B9" s="9" t="n"/>
      <c r="C9" s="9" t="n"/>
      <c r="D9" s="9" t="n"/>
      <c r="E9" s="9" t="n"/>
      <c r="F9" s="9" t="n"/>
      <c r="G9" s="16">
        <f>IF(COUNT(D9:F9)=0,"",SUM(D9:F9))</f>
        <v/>
      </c>
      <c r="H9" s="9" t="n"/>
    </row>
    <row r="10">
      <c r="A10" s="9" t="n"/>
      <c r="B10" s="9" t="n"/>
      <c r="C10" s="9" t="n"/>
      <c r="D10" s="9" t="n"/>
      <c r="E10" s="9" t="n"/>
      <c r="F10" s="9" t="n"/>
      <c r="G10" s="16">
        <f>IF(COUNT(D10:F10)=0,"",SUM(D10:F10))</f>
        <v/>
      </c>
      <c r="H10" s="9" t="n"/>
    </row>
    <row r="11">
      <c r="A11" s="9" t="n"/>
      <c r="B11" s="9" t="n"/>
      <c r="C11" s="9" t="n"/>
      <c r="D11" s="9" t="n"/>
      <c r="E11" s="9" t="n"/>
      <c r="F11" s="9" t="n"/>
      <c r="G11" s="16">
        <f>IF(COUNT(D11:F11)=0,"",SUM(D11:F11))</f>
        <v/>
      </c>
      <c r="H11" s="9" t="n"/>
    </row>
    <row r="12">
      <c r="A12" s="9" t="inlineStr">
        <is>
          <t>Al pie de cada semana anota: Nómina Taller | Nómina Plata | Nómina Pita | TOTAL (=suma)</t>
        </is>
      </c>
      <c r="B12" s="9" t="n"/>
      <c r="C12" s="9" t="n"/>
      <c r="D12" s="9" t="n"/>
      <c r="E12" s="9" t="n"/>
      <c r="F12" s="9" t="n"/>
      <c r="G12" s="16">
        <f>IF(COUNT(D12:F12)=0,"",SUM(D12:F12))</f>
        <v/>
      </c>
      <c r="H12" s="9" t="n"/>
    </row>
    <row r="13">
      <c r="A13" s="149" t="inlineStr">
        <is>
          <t>Ejemplo visual: Taller $30,516 | Plata $24,124.90 | Pita $12,621 | Total $67,261.90</t>
        </is>
      </c>
      <c r="B13" s="9" t="n"/>
      <c r="C13" s="9" t="n"/>
      <c r="D13" s="9" t="n"/>
      <c r="E13" s="9" t="n"/>
      <c r="F13" s="9" t="n"/>
      <c r="G13" s="16">
        <f>IF(COUNT(D13:F13)=0,"",SUM(D13:F13))</f>
        <v/>
      </c>
      <c r="H13" s="9" t="n"/>
    </row>
    <row r="14">
      <c r="A14" s="9" t="n"/>
      <c r="B14" s="9" t="n"/>
      <c r="C14" s="9" t="n"/>
      <c r="D14" s="9" t="n"/>
      <c r="E14" s="9" t="n"/>
      <c r="F14" s="9" t="n"/>
      <c r="G14" s="16">
        <f>IF(COUNT(D14:F14)=0,"",SUM(D14:F14))</f>
        <v/>
      </c>
      <c r="H14" s="9" t="n"/>
    </row>
    <row r="15">
      <c r="A15" s="9" t="n"/>
      <c r="B15" s="9" t="n"/>
      <c r="C15" s="9" t="n"/>
      <c r="D15" s="9" t="n"/>
      <c r="E15" s="9" t="n"/>
      <c r="F15" s="9" t="n"/>
      <c r="G15" s="16">
        <f>IF(COUNT(D15:F15)=0,"",SUM(D15:F15))</f>
        <v/>
      </c>
      <c r="H15" s="9" t="n"/>
    </row>
    <row r="16">
      <c r="A16" s="9" t="n"/>
      <c r="B16" s="9" t="n"/>
      <c r="C16" s="9" t="n"/>
      <c r="D16" s="9" t="n"/>
      <c r="E16" s="9" t="n"/>
      <c r="F16" s="9" t="n"/>
      <c r="G16" s="16">
        <f>IF(COUNT(D16:F16)=0,"",SUM(D16:F16))</f>
        <v/>
      </c>
      <c r="H16" s="9" t="n"/>
    </row>
    <row r="17">
      <c r="A17" s="9" t="n"/>
      <c r="B17" s="9" t="n"/>
      <c r="C17" s="9" t="n"/>
      <c r="D17" s="9" t="n"/>
      <c r="E17" s="9" t="n"/>
      <c r="F17" s="9" t="n"/>
      <c r="G17" s="16">
        <f>IF(COUNT(D17:F17)=0,"",SUM(D17:F17))</f>
        <v/>
      </c>
      <c r="H17" s="9" t="n"/>
    </row>
    <row r="18">
      <c r="A18" s="9" t="n"/>
      <c r="B18" s="9" t="n"/>
      <c r="C18" s="9" t="n"/>
      <c r="D18" s="9" t="n"/>
      <c r="E18" s="9" t="n"/>
      <c r="F18" s="9" t="n"/>
      <c r="G18" s="16">
        <f>IF(COUNT(D18:F18)=0,"",SUM(D18:F18))</f>
        <v/>
      </c>
      <c r="H18" s="9" t="n"/>
    </row>
    <row r="19">
      <c r="A19" s="9" t="n"/>
      <c r="B19" s="9" t="n"/>
      <c r="C19" s="9" t="n"/>
      <c r="D19" s="9" t="n"/>
      <c r="E19" s="9" t="n"/>
      <c r="F19" s="9" t="n"/>
      <c r="G19" s="16">
        <f>IF(COUNT(D19:F19)=0,"",SUM(D19:F19))</f>
        <v/>
      </c>
      <c r="H19" s="9" t="n"/>
    </row>
    <row r="20">
      <c r="A20" s="9" t="n"/>
      <c r="B20" s="9" t="n"/>
      <c r="C20" s="9" t="n"/>
      <c r="D20" s="9" t="n"/>
      <c r="E20" s="9" t="n"/>
      <c r="F20" s="9" t="n"/>
      <c r="G20" s="16">
        <f>IF(COUNT(D20:F20)=0,"",SUM(D20:F20))</f>
        <v/>
      </c>
      <c r="H20" s="9" t="n"/>
    </row>
    <row r="21">
      <c r="A21" s="9" t="n"/>
      <c r="B21" s="9" t="n"/>
      <c r="C21" s="9" t="n"/>
      <c r="D21" s="9" t="n"/>
      <c r="E21" s="9" t="n"/>
      <c r="F21" s="9" t="n"/>
      <c r="G21" s="16">
        <f>IF(COUNT(D21:F21)=0,"",SUM(D21:F21))</f>
        <v/>
      </c>
      <c r="H21" s="9" t="n"/>
    </row>
    <row r="22">
      <c r="A22" s="9" t="n"/>
      <c r="B22" s="9" t="n"/>
      <c r="C22" s="9" t="n"/>
      <c r="D22" s="9" t="n"/>
      <c r="E22" s="9" t="n"/>
      <c r="F22" s="9" t="n"/>
      <c r="G22" s="16">
        <f>IF(COUNT(D22:F22)=0,"",SUM(D22:F22))</f>
        <v/>
      </c>
      <c r="H22" s="9" t="n"/>
    </row>
    <row r="23">
      <c r="A23" s="9" t="n"/>
      <c r="B23" s="9" t="n"/>
      <c r="C23" s="9" t="n"/>
      <c r="D23" s="9" t="n"/>
      <c r="E23" s="9" t="n"/>
      <c r="F23" s="9" t="n"/>
      <c r="G23" s="16">
        <f>IF(COUNT(D23:F23)=0,"",SUM(D23:F23))</f>
        <v/>
      </c>
      <c r="H23" s="9" t="n"/>
    </row>
    <row r="24">
      <c r="A24" s="9" t="n"/>
      <c r="B24" s="9" t="n"/>
      <c r="C24" s="9" t="n"/>
      <c r="D24" s="9" t="n"/>
      <c r="E24" s="9" t="n"/>
      <c r="F24" s="9" t="n"/>
      <c r="G24" s="16">
        <f>IF(COUNT(D24:F24)=0,"",SUM(D24:F24))</f>
        <v/>
      </c>
      <c r="H24" s="9" t="n"/>
    </row>
    <row r="25">
      <c r="A25" s="9" t="n"/>
      <c r="B25" s="9" t="n"/>
      <c r="C25" s="9" t="n"/>
      <c r="D25" s="9" t="n"/>
      <c r="E25" s="9" t="n"/>
      <c r="F25" s="9" t="n"/>
      <c r="G25" s="16">
        <f>IF(COUNT(D25:F25)=0,"",SUM(D25:F25))</f>
        <v/>
      </c>
      <c r="H25" s="9" t="n"/>
    </row>
    <row r="26">
      <c r="A26" s="9" t="n"/>
      <c r="B26" s="9" t="n"/>
      <c r="C26" s="9" t="n"/>
      <c r="D26" s="9" t="n"/>
      <c r="E26" s="9" t="n"/>
      <c r="F26" s="9" t="n"/>
      <c r="G26" s="16">
        <f>IF(COUNT(D26:F26)=0,"",SUM(D26:F26))</f>
        <v/>
      </c>
      <c r="H26" s="9" t="n"/>
    </row>
    <row r="27">
      <c r="A27" s="9" t="n"/>
      <c r="B27" s="9" t="n"/>
      <c r="C27" s="9" t="n"/>
      <c r="D27" s="9" t="n"/>
      <c r="E27" s="9" t="n"/>
      <c r="F27" s="9" t="n"/>
      <c r="G27" s="16">
        <f>IF(COUNT(D27:F27)=0,"",SUM(D27:F27))</f>
        <v/>
      </c>
      <c r="H27" s="9" t="n"/>
    </row>
    <row r="28">
      <c r="A28" s="9" t="n"/>
      <c r="B28" s="9" t="n"/>
      <c r="C28" s="9" t="n"/>
      <c r="D28" s="9" t="n"/>
      <c r="E28" s="9" t="n"/>
      <c r="F28" s="9" t="n"/>
      <c r="G28" s="16">
        <f>IF(COUNT(D28:F28)=0,"",SUM(D28:F28))</f>
        <v/>
      </c>
      <c r="H28" s="9" t="n"/>
    </row>
    <row r="29">
      <c r="A29" s="9" t="n"/>
      <c r="B29" s="9" t="n"/>
      <c r="C29" s="9" t="n"/>
      <c r="D29" s="9" t="n"/>
      <c r="E29" s="9" t="n"/>
      <c r="F29" s="9" t="n"/>
      <c r="G29" s="16">
        <f>IF(COUNT(D29:F29)=0,"",SUM(D29:F29))</f>
        <v/>
      </c>
      <c r="H29" s="9" t="n"/>
    </row>
    <row r="31">
      <c r="C31" s="17" t="inlineStr">
        <is>
          <t>TOTALES GENERALES →</t>
        </is>
      </c>
      <c r="D31" s="18">
        <f>SUM(D5:D30)</f>
        <v/>
      </c>
      <c r="E31" s="18">
        <f>SUM(E5:E30)</f>
        <v/>
      </c>
      <c r="F31" s="18">
        <f>SUM(F5:F30)</f>
        <v/>
      </c>
      <c r="G31" s="18">
        <f>SUM(G5:G30)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18" customWidth="1" style="116" min="1" max="1"/>
    <col width="8" customWidth="1" style="116" min="2" max="2"/>
    <col width="14" customWidth="1" style="116" min="3" max="3"/>
    <col width="12" customWidth="1" style="116" min="4" max="4"/>
    <col width="12" customWidth="1" style="116" min="5" max="5"/>
    <col width="12" customWidth="1" style="116" min="6" max="6"/>
    <col width="10" customWidth="1" style="116" min="7" max="7"/>
  </cols>
  <sheetData>
    <row r="1">
      <c r="A1" s="150" t="inlineStr">
        <is>
          <t>Taller de Fajos Central — NÓMINA TALLER (TLL)</t>
        </is>
      </c>
    </row>
    <row r="2">
      <c r="A2" t="inlineStr">
        <is>
          <t>Semana: ____    Mes: ____    Año: 2026    |    Solo sueldo + extras (sin material)</t>
        </is>
      </c>
    </row>
    <row r="3">
      <c r="A3" t="inlineStr">
        <is>
          <t>Columnas: Nombre | Ubic | Puesto | Sueldo | Extras | Total | Firma</t>
        </is>
      </c>
    </row>
    <row r="5">
      <c r="A5" s="151" t="inlineStr">
        <is>
          <t>Nombre</t>
        </is>
      </c>
      <c r="B5" s="151" t="inlineStr">
        <is>
          <t>Ubic</t>
        </is>
      </c>
      <c r="C5" s="151" t="inlineStr">
        <is>
          <t>Puesto</t>
        </is>
      </c>
      <c r="D5" s="151" t="inlineStr">
        <is>
          <t>Sueldo</t>
        </is>
      </c>
      <c r="E5" s="151" t="inlineStr">
        <is>
          <t>Extras</t>
        </is>
      </c>
      <c r="F5" s="151" t="inlineStr">
        <is>
          <t>Total</t>
        </is>
      </c>
      <c r="G5" s="151" t="inlineStr">
        <is>
          <t>Firma</t>
        </is>
      </c>
    </row>
    <row r="6">
      <c r="A6" t="inlineStr">
        <is>
          <t>Alejandro López Alatorre</t>
        </is>
      </c>
      <c r="B6" t="n">
        <v>467</v>
      </c>
      <c r="C6" t="inlineStr">
        <is>
          <t>Ventana</t>
        </is>
      </c>
      <c r="F6">
        <f>IF(OR(D6&lt;&gt;"",E6&lt;&gt;""),IF(D6="",0,D6)+IF(E6="",0,E6),"")</f>
        <v/>
      </c>
    </row>
    <row r="7">
      <c r="A7" t="inlineStr">
        <is>
          <t>Francisco Javier Chávez Domínguez</t>
        </is>
      </c>
      <c r="B7" t="n">
        <v>388</v>
      </c>
      <c r="C7" t="inlineStr">
        <is>
          <t>Montador</t>
        </is>
      </c>
      <c r="F7">
        <f>IF(OR(D7&lt;&gt;"",E7&lt;&gt;""),IF(D7="",0,D7)+IF(E7="",0,E7),"")</f>
        <v/>
      </c>
    </row>
    <row r="8">
      <c r="A8" t="inlineStr">
        <is>
          <t>Óscar Adrián Gutiérrez Pérez</t>
        </is>
      </c>
      <c r="B8" t="n">
        <v>633</v>
      </c>
      <c r="C8" t="inlineStr">
        <is>
          <t>Montador</t>
        </is>
      </c>
      <c r="F8">
        <f>IF(OR(D8&lt;&gt;"",E8&lt;&gt;""),IF(D8="",0,D8)+IF(E8="",0,E8),"")</f>
        <v/>
      </c>
    </row>
    <row r="9">
      <c r="A9" t="inlineStr">
        <is>
          <t>José Luis Tamayo</t>
        </is>
      </c>
      <c r="B9" t="n">
        <v>366</v>
      </c>
      <c r="C9" t="inlineStr">
        <is>
          <t>Montador</t>
        </is>
      </c>
      <c r="F9">
        <f>IF(OR(D9&lt;&gt;"",E9&lt;&gt;""),IF(D9="",0,D9)+IF(E9="",0,E9),"")</f>
        <v/>
      </c>
    </row>
    <row r="10">
      <c r="A10" t="inlineStr">
        <is>
          <t>Valentín Machuca</t>
        </is>
      </c>
      <c r="B10" t="n">
        <v>421</v>
      </c>
      <c r="C10" t="inlineStr">
        <is>
          <t>Aseo</t>
        </is>
      </c>
      <c r="F10">
        <f>IF(OR(D10&lt;&gt;"",E10&lt;&gt;""),IF(D10="",0,D10)+IF(E10="",0,E10),"")</f>
        <v/>
      </c>
    </row>
    <row r="11">
      <c r="A11" t="inlineStr">
        <is>
          <t>Jonathan Valderra Reyes</t>
        </is>
      </c>
      <c r="B11" t="n">
        <v>424</v>
      </c>
      <c r="C11" t="inlineStr">
        <is>
          <t>Burbuja</t>
        </is>
      </c>
      <c r="F11">
        <f>IF(OR(D11&lt;&gt;"",E11&lt;&gt;""),IF(D11="",0,D11)+IF(E11="",0,E11),"")</f>
        <v/>
      </c>
    </row>
    <row r="12">
      <c r="A12" t="inlineStr">
        <is>
          <t>Salvador Preciado Gutiérrez</t>
        </is>
      </c>
      <c r="B12" t="n">
        <v>528</v>
      </c>
      <c r="C12" t="inlineStr">
        <is>
          <t>Ventana</t>
        </is>
      </c>
      <c r="F12">
        <f>IF(OR(D12&lt;&gt;"",E12&lt;&gt;""),IF(D12="",0,D12)+IF(E12="",0,E12),"")</f>
        <v/>
      </c>
    </row>
    <row r="13">
      <c r="A13" t="inlineStr">
        <is>
          <t>Benjamín Ezequiel Ramos Hernández</t>
        </is>
      </c>
      <c r="B13" t="n">
        <v>578</v>
      </c>
      <c r="C13" t="inlineStr">
        <is>
          <t>Detallador</t>
        </is>
      </c>
      <c r="F13">
        <f>IF(OR(D13&lt;&gt;"",E13&lt;&gt;""),IF(D13="",0,D13)+IF(E13="",0,E13),"")</f>
        <v/>
      </c>
    </row>
    <row r="14">
      <c r="A14" t="inlineStr">
        <is>
          <t>Víctor Flores Gámez</t>
        </is>
      </c>
      <c r="B14" t="n">
        <v>584</v>
      </c>
      <c r="C14" t="inlineStr">
        <is>
          <t>Rayador</t>
        </is>
      </c>
      <c r="F14">
        <f>IF(OR(D14&lt;&gt;"",E14&lt;&gt;""),IF(D14="",0,D14)+IF(E14="",0,E14),"")</f>
        <v/>
      </c>
    </row>
    <row r="15">
      <c r="A15" t="inlineStr">
        <is>
          <t>Óscar Eduardo Razo Valadez</t>
        </is>
      </c>
      <c r="B15" t="n">
        <v>616</v>
      </c>
      <c r="C15" t="inlineStr">
        <is>
          <t>Burbuja</t>
        </is>
      </c>
      <c r="F15">
        <f>IF(OR(D15&lt;&gt;"",E15&lt;&gt;""),IF(D15="",0,D15)+IF(E15="",0,E15),"")</f>
        <v/>
      </c>
    </row>
    <row r="16">
      <c r="A16" t="inlineStr">
        <is>
          <t>José Román Flores Flores</t>
        </is>
      </c>
      <c r="B16" t="n">
        <v>657</v>
      </c>
      <c r="C16" t="inlineStr">
        <is>
          <t>Ventana</t>
        </is>
      </c>
      <c r="F16">
        <f>IF(OR(D16&lt;&gt;"",E16&lt;&gt;""),IF(D16="",0,D16)+IF(E16="",0,E16),"")</f>
        <v/>
      </c>
    </row>
    <row r="17">
      <c r="A17" t="inlineStr">
        <is>
          <t>Nemecio Rincón Martínez</t>
        </is>
      </c>
      <c r="B17" t="n">
        <v>884</v>
      </c>
      <c r="C17" t="inlineStr">
        <is>
          <t>Montador</t>
        </is>
      </c>
      <c r="F17">
        <f>IF(OR(D17&lt;&gt;"",E17&lt;&gt;""),IF(D17="",0,D17)+IF(E17="",0,E17),"")</f>
        <v/>
      </c>
    </row>
    <row r="18">
      <c r="A18" t="inlineStr">
        <is>
          <t>Marco Antonio López Aguilera</t>
        </is>
      </c>
      <c r="B18" t="n">
        <v>882</v>
      </c>
      <c r="C18" t="inlineStr">
        <is>
          <t>Montador</t>
        </is>
      </c>
      <c r="F18">
        <f>IF(OR(D18&lt;&gt;"",E18&lt;&gt;""),IF(D18="",0,D18)+IF(E18="",0,E18),"")</f>
        <v/>
      </c>
    </row>
    <row r="19">
      <c r="A19" t="inlineStr">
        <is>
          <t>Carlos Francisco Trinidad</t>
        </is>
      </c>
      <c r="B19" t="n">
        <v>1067</v>
      </c>
      <c r="C19" t="inlineStr">
        <is>
          <t>Detallador</t>
        </is>
      </c>
      <c r="F19">
        <f>IF(OR(D19&lt;&gt;"",E19&lt;&gt;""),IF(D19="",0,D19)+IF(E19="",0,E19),"")</f>
        <v/>
      </c>
    </row>
    <row r="20">
      <c r="A20" t="inlineStr">
        <is>
          <t>Ricardo Vargas Hernández</t>
        </is>
      </c>
      <c r="B20" t="n">
        <v>741</v>
      </c>
      <c r="C20" t="inlineStr">
        <is>
          <t>Rayador</t>
        </is>
      </c>
      <c r="F20">
        <f>IF(OR(D20&lt;&gt;"",E20&lt;&gt;""),IF(D20="",0,D20)+IF(E20="",0,E20),"")</f>
        <v/>
      </c>
    </row>
    <row r="21">
      <c r="A21" t="inlineStr">
        <is>
          <t>Gerónimo Cruz Cabrera</t>
        </is>
      </c>
      <c r="B21" t="n">
        <v>455</v>
      </c>
      <c r="C21" t="inlineStr">
        <is>
          <t>Torcedor</t>
        </is>
      </c>
      <c r="F21">
        <f>IF(OR(D21&lt;&gt;"",E21&lt;&gt;""),IF(D21="",0,D21)+IF(E21="",0,E21),"")</f>
        <v/>
      </c>
    </row>
    <row r="22">
      <c r="A22" t="inlineStr">
        <is>
          <t>Martín Sánchez Serio</t>
        </is>
      </c>
      <c r="B22" t="n">
        <v>854</v>
      </c>
      <c r="C22" t="inlineStr">
        <is>
          <t>Torcedor</t>
        </is>
      </c>
      <c r="F22">
        <f>IF(OR(D22&lt;&gt;"",E22&lt;&gt;""),IF(D22="",0,D22)+IF(E22="",0,E22),"")</f>
        <v/>
      </c>
    </row>
    <row r="23">
      <c r="A23" t="inlineStr">
        <is>
          <t>José Luis Carrillo</t>
        </is>
      </c>
      <c r="B23" t="n">
        <v>862</v>
      </c>
      <c r="C23" t="inlineStr">
        <is>
          <t>Torcedor</t>
        </is>
      </c>
      <c r="F23">
        <f>IF(OR(D23&lt;&gt;"",E23&lt;&gt;""),IF(D23="",0,D23)+IF(E23="",0,E23),"")</f>
        <v/>
      </c>
    </row>
    <row r="24">
      <c r="A24" t="inlineStr">
        <is>
          <t>José Moisés Martínez Juárez</t>
        </is>
      </c>
      <c r="B24" t="n">
        <v>644</v>
      </c>
      <c r="C24" t="inlineStr">
        <is>
          <t>Torcedor</t>
        </is>
      </c>
      <c r="F24">
        <f>IF(OR(D24&lt;&gt;"",E24&lt;&gt;""),IF(D24="",0,D24)+IF(E24="",0,E24),"")</f>
        <v/>
      </c>
    </row>
    <row r="26">
      <c r="C26" s="148" t="inlineStr">
        <is>
          <t>TOTAL TALLER</t>
        </is>
      </c>
      <c r="F26" s="152">
        <f>SUM(F6:F24)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cols>
    <col width="18" customWidth="1" style="116" min="1" max="1"/>
    <col width="8" customWidth="1" style="116" min="2" max="2"/>
    <col width="14" customWidth="1" style="116" min="3" max="3"/>
    <col width="12" customWidth="1" style="116" min="4" max="4"/>
    <col width="14" customWidth="1" style="116" min="5" max="5"/>
    <col width="12" customWidth="1" style="116" min="6" max="6"/>
    <col width="10" customWidth="1" style="116" min="7" max="7"/>
    <col width="12" customWidth="1" style="116" min="8" max="8"/>
    <col width="10" customWidth="1" style="116" min="9" max="9"/>
  </cols>
  <sheetData>
    <row r="1">
      <c r="A1" s="150" t="inlineStr">
        <is>
          <t>Taller de Fajos Central — NÓMINA PITA (PIT)</t>
        </is>
      </c>
    </row>
    <row r="2">
      <c r="A2" t="inlineStr">
        <is>
          <t>Semana: ____    |    Material tipo PITA NxN · Producto suele ser Cinturón · Pitas a menudo vacío</t>
        </is>
      </c>
    </row>
    <row r="5">
      <c r="A5" s="151" t="inlineStr">
        <is>
          <t>Nombre</t>
        </is>
      </c>
      <c r="B5" s="151" t="inlineStr">
        <is>
          <t>Ubic</t>
        </is>
      </c>
      <c r="C5" s="151" t="inlineStr">
        <is>
          <t>Modelo</t>
        </is>
      </c>
      <c r="D5" s="151" t="inlineStr">
        <is>
          <t>Folio</t>
        </is>
      </c>
      <c r="E5" s="151" t="inlineStr">
        <is>
          <t>Material</t>
        </is>
      </c>
      <c r="F5" s="151" t="inlineStr">
        <is>
          <t>Producto</t>
        </is>
      </c>
      <c r="G5" s="151" t="inlineStr">
        <is>
          <t>Pitas</t>
        </is>
      </c>
      <c r="H5" s="151" t="inlineStr">
        <is>
          <t>Efectivo</t>
        </is>
      </c>
      <c r="I5" s="151" t="inlineStr">
        <is>
          <t>Firma</t>
        </is>
      </c>
    </row>
    <row r="6">
      <c r="A6" t="inlineStr">
        <is>
          <t>Adrián Emilio López Sánchez</t>
        </is>
      </c>
      <c r="B6" t="n">
        <v>737</v>
      </c>
      <c r="E6" t="inlineStr">
        <is>
          <t>PITA 6X6</t>
        </is>
      </c>
      <c r="F6" t="inlineStr">
        <is>
          <t>Cinturón</t>
        </is>
      </c>
    </row>
    <row r="7">
      <c r="A7" t="inlineStr">
        <is>
          <t>Ángel</t>
        </is>
      </c>
      <c r="B7" t="n">
        <v>762</v>
      </c>
      <c r="E7" t="inlineStr">
        <is>
          <t>PITA 6X6</t>
        </is>
      </c>
      <c r="F7" t="inlineStr">
        <is>
          <t>Cinturón</t>
        </is>
      </c>
    </row>
    <row r="8">
      <c r="A8" t="inlineStr">
        <is>
          <t>Ángel (756)</t>
        </is>
      </c>
      <c r="B8" t="n">
        <v>756</v>
      </c>
      <c r="E8" t="inlineStr">
        <is>
          <t>PITA 6X6</t>
        </is>
      </c>
      <c r="F8" t="inlineStr">
        <is>
          <t>Cinturón</t>
        </is>
      </c>
    </row>
    <row r="9">
      <c r="A9" t="inlineStr">
        <is>
          <t>Brian</t>
        </is>
      </c>
      <c r="B9" t="n">
        <v>776</v>
      </c>
      <c r="E9" t="inlineStr">
        <is>
          <t>PITA 6X6</t>
        </is>
      </c>
      <c r="F9" t="inlineStr">
        <is>
          <t>Cinturón</t>
        </is>
      </c>
    </row>
    <row r="10">
      <c r="A10" t="inlineStr">
        <is>
          <t>Héctor Melecio</t>
        </is>
      </c>
      <c r="B10" t="n">
        <v>852</v>
      </c>
      <c r="E10" t="inlineStr">
        <is>
          <t>PITA 6X6</t>
        </is>
      </c>
      <c r="F10" t="inlineStr">
        <is>
          <t>Cinturón</t>
        </is>
      </c>
    </row>
    <row r="11">
      <c r="A11" t="inlineStr">
        <is>
          <t>José Alberto</t>
        </is>
      </c>
      <c r="B11" t="n">
        <v>634</v>
      </c>
      <c r="E11" t="inlineStr">
        <is>
          <t>PITA 6X6</t>
        </is>
      </c>
      <c r="F11" t="inlineStr">
        <is>
          <t>Cinturón</t>
        </is>
      </c>
    </row>
    <row r="12">
      <c r="A12" t="inlineStr">
        <is>
          <t>Salvador (622)</t>
        </is>
      </c>
      <c r="B12" t="n">
        <v>622</v>
      </c>
      <c r="E12" t="inlineStr">
        <is>
          <t>PITA 6X6</t>
        </is>
      </c>
      <c r="F12" t="inlineStr">
        <is>
          <t>Cinturón</t>
        </is>
      </c>
    </row>
    <row r="13">
      <c r="A13" t="inlineStr">
        <is>
          <t>William</t>
        </is>
      </c>
      <c r="B13" t="n">
        <v>776</v>
      </c>
      <c r="E13" t="inlineStr">
        <is>
          <t>PITA 6X6</t>
        </is>
      </c>
      <c r="F13" t="inlineStr">
        <is>
          <t>Cinturón</t>
        </is>
      </c>
    </row>
    <row r="14">
      <c r="A14" t="inlineStr">
        <is>
          <t>Hugo (741)</t>
        </is>
      </c>
      <c r="B14" t="n">
        <v>741</v>
      </c>
      <c r="E14" t="inlineStr">
        <is>
          <t>PITA 6X6</t>
        </is>
      </c>
      <c r="F14" t="inlineStr">
        <is>
          <t>Cinturón</t>
        </is>
      </c>
    </row>
    <row r="15">
      <c r="A15" t="inlineStr">
        <is>
          <t>Angel (756)</t>
        </is>
      </c>
      <c r="B15" t="n">
        <v>756</v>
      </c>
      <c r="E15" t="inlineStr">
        <is>
          <t>PITA 6X6</t>
        </is>
      </c>
      <c r="F15" t="inlineStr">
        <is>
          <t>Cinturón</t>
        </is>
      </c>
    </row>
    <row r="16">
      <c r="A16" t="inlineStr">
        <is>
          <t>Alfredo (757)</t>
        </is>
      </c>
      <c r="B16" t="n">
        <v>757</v>
      </c>
      <c r="E16" t="inlineStr">
        <is>
          <t>PITA 6X6</t>
        </is>
      </c>
      <c r="F16" t="inlineStr">
        <is>
          <t>Cinturón</t>
        </is>
      </c>
    </row>
    <row r="17">
      <c r="A17" t="inlineStr">
        <is>
          <t>Juan (515)</t>
        </is>
      </c>
      <c r="B17" t="n">
        <v>515</v>
      </c>
      <c r="E17" t="inlineStr">
        <is>
          <t>PITA 6X6</t>
        </is>
      </c>
      <c r="F17" t="inlineStr">
        <is>
          <t>Cinturón</t>
        </is>
      </c>
    </row>
    <row r="18">
      <c r="A18" t="inlineStr">
        <is>
          <t>Noé (565)</t>
        </is>
      </c>
      <c r="B18" t="n">
        <v>565</v>
      </c>
      <c r="E18" t="inlineStr">
        <is>
          <t>PITA 6X6</t>
        </is>
      </c>
      <c r="F18" t="inlineStr">
        <is>
          <t>Cinturón</t>
        </is>
      </c>
    </row>
    <row r="19">
      <c r="A19" t="inlineStr">
        <is>
          <t>Oscar (737)</t>
        </is>
      </c>
      <c r="B19" t="n">
        <v>737</v>
      </c>
      <c r="E19" t="inlineStr">
        <is>
          <t>PITA 6X6</t>
        </is>
      </c>
      <c r="F19" t="inlineStr">
        <is>
          <t>Cinturón</t>
        </is>
      </c>
    </row>
    <row r="20">
      <c r="A20" t="inlineStr">
        <is>
          <t>José (216)</t>
        </is>
      </c>
      <c r="B20" t="n">
        <v>216</v>
      </c>
      <c r="E20" t="inlineStr">
        <is>
          <t>PITA 6X6</t>
        </is>
      </c>
      <c r="F20" t="inlineStr">
        <is>
          <t>Cinturón</t>
        </is>
      </c>
    </row>
    <row r="21">
      <c r="A21" t="inlineStr">
        <is>
          <t>José Antonio</t>
        </is>
      </c>
      <c r="B21" t="n">
        <v>315</v>
      </c>
      <c r="E21" t="inlineStr">
        <is>
          <t>PITA 6X6</t>
        </is>
      </c>
      <c r="F21" t="inlineStr">
        <is>
          <t>Cinturón</t>
        </is>
      </c>
    </row>
    <row r="22">
      <c r="A22" t="inlineStr">
        <is>
          <t>Luis (474)</t>
        </is>
      </c>
      <c r="B22" t="n">
        <v>474</v>
      </c>
      <c r="E22" t="inlineStr">
        <is>
          <t>PITA 6X6</t>
        </is>
      </c>
      <c r="F22" t="inlineStr">
        <is>
          <t>Cinturón</t>
        </is>
      </c>
    </row>
    <row r="24">
      <c r="G24" s="148" t="inlineStr">
        <is>
          <t>TOTAL PITA</t>
        </is>
      </c>
      <c r="H24" s="153">
        <f>SUM(H6:H22)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2026-08-17T19:29:00Z</dcterms:created>
  <dcterms:modified xmlns:dcterms="http://purl.org/dc/terms/" xmlns:xsi="http://www.w3.org/2001/XMLSchema-instance" xsi:type="dcterms:W3CDTF">2026-08-21T19:08:52Z</dcterms:modified>
  <cp:lastModifiedBy>Armando Hoyos</cp:lastModifiedBy>
  <cp:lastPrinted>2026-08-19T21:17:58Z</cp:lastPrinted>
</cp:coreProperties>
</file>